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9D89E193-22D9-45AC-8800-CF92A145172E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CSE Array Spill Cases" sheetId="1" r:id="rId1"/>
    <sheet name="Implicit intersection Operator" sheetId="2" r:id="rId2"/>
    <sheet name="Spill Operato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9" i="2" l="1" a="1"/>
  <c r="A29" i="2"/>
  <c r="D83" i="1"/>
  <c r="D82" i="1"/>
  <c r="D81" i="1"/>
  <c r="C83" i="1"/>
  <c r="C82" i="1"/>
  <c r="C81" i="1"/>
  <c r="A83" i="1"/>
  <c r="A82" i="1"/>
  <c r="A81" i="1"/>
  <c r="G81" i="1" a="1"/>
  <c r="G81" i="1"/>
  <c r="F83" i="1"/>
  <c r="F82" i="1"/>
  <c r="F81" i="1"/>
  <c r="D80" i="1"/>
  <c r="D79" i="1"/>
  <c r="D78" i="1"/>
  <c r="A80" i="1"/>
  <c r="C80" i="1" s="1"/>
  <c r="A79" i="1"/>
  <c r="C79" i="1" s="1"/>
  <c r="A78" i="1"/>
  <c r="C78" i="1" s="1"/>
  <c r="G78" i="1" a="1"/>
  <c r="G78" i="1"/>
  <c r="I10" i="2"/>
  <c r="D16" i="2"/>
  <c r="D17" i="2"/>
  <c r="D18" i="2"/>
  <c r="D19" i="2"/>
  <c r="D15" i="2"/>
  <c r="D14" i="2"/>
  <c r="D10" i="2"/>
  <c r="D6" i="2"/>
  <c r="D7" i="2"/>
  <c r="D8" i="2"/>
  <c r="D9" i="2"/>
  <c r="D5" i="2"/>
  <c r="D27" i="2"/>
  <c r="D26" i="2"/>
  <c r="D25" i="2"/>
  <c r="D24" i="2"/>
  <c r="A27" i="2"/>
  <c r="C27" i="2" s="1"/>
  <c r="A26" i="2"/>
  <c r="C26" i="2" s="1"/>
  <c r="A25" i="2"/>
  <c r="C25" i="2" s="1"/>
  <c r="A24" i="2"/>
  <c r="C24" i="2" s="1"/>
  <c r="D5" i="3"/>
  <c r="D16" i="3"/>
  <c r="D13" i="3"/>
  <c r="D19" i="3"/>
  <c r="D10" i="3"/>
  <c r="D7" i="3"/>
  <c r="D6" i="3"/>
  <c r="D113" i="3"/>
  <c r="D110" i="3"/>
  <c r="D50" i="2"/>
  <c r="D51" i="2"/>
  <c r="D52" i="2"/>
  <c r="D53" i="2"/>
  <c r="D49" i="2"/>
  <c r="D48" i="2"/>
  <c r="D45" i="2"/>
  <c r="D44" i="2"/>
  <c r="D40" i="2"/>
  <c r="D41" i="2"/>
  <c r="D42" i="2"/>
  <c r="D43" i="2"/>
  <c r="D39" i="2"/>
  <c r="I7" i="2"/>
  <c r="F113" i="3"/>
  <c r="F112" i="3"/>
  <c r="G111" i="3" a="1"/>
  <c r="F111" i="3"/>
  <c r="F98" i="3" a="1"/>
  <c r="F98" i="3" s="1"/>
  <c r="A98" i="3" s="1"/>
  <c r="C98" i="3" s="1"/>
  <c r="D103" i="3"/>
  <c r="D98" i="3"/>
  <c r="D95" i="3"/>
  <c r="F97" i="3" a="1"/>
  <c r="F97" i="3" s="1"/>
  <c r="A97" i="3" s="1"/>
  <c r="C97" i="3" s="1"/>
  <c r="F94" i="3" a="1"/>
  <c r="F94" i="3" s="1"/>
  <c r="A94" i="3" s="1"/>
  <c r="C94" i="3" s="1"/>
  <c r="D102" i="3"/>
  <c r="D97" i="3"/>
  <c r="D94" i="3"/>
  <c r="D109" i="3"/>
  <c r="F108" i="3" a="1"/>
  <c r="F108" i="3" s="1"/>
  <c r="A108" i="3" s="1"/>
  <c r="C108" i="3" s="1"/>
  <c r="F96" i="3" a="1"/>
  <c r="F96" i="3" s="1"/>
  <c r="A96" i="3" s="1"/>
  <c r="C96" i="3" s="1"/>
  <c r="F93" i="3" a="1"/>
  <c r="D108" i="3"/>
  <c r="D105" i="3"/>
  <c r="D104" i="3"/>
  <c r="D99" i="3"/>
  <c r="D96" i="3"/>
  <c r="D93" i="3"/>
  <c r="I95" i="3"/>
  <c r="A95" i="3" s="1" a="1"/>
  <c r="A95" i="3" s="1"/>
  <c r="C95" i="3" s="1"/>
  <c r="K93" i="3" a="1"/>
  <c r="D89" i="3"/>
  <c r="D80" i="3"/>
  <c r="D79" i="3"/>
  <c r="D78" i="3"/>
  <c r="D85" i="3"/>
  <c r="D68" i="3"/>
  <c r="D61" i="3"/>
  <c r="D54" i="3"/>
  <c r="D46" i="3"/>
  <c r="D38" i="3"/>
  <c r="D30" i="3"/>
  <c r="D77" i="3"/>
  <c r="D76" i="3"/>
  <c r="H5" i="3" a="1"/>
  <c r="G5" i="3" a="1"/>
  <c r="A5" i="3" s="1"/>
  <c r="D81" i="3"/>
  <c r="D75" i="3"/>
  <c r="D71" i="3"/>
  <c r="D65" i="3"/>
  <c r="D57" i="3"/>
  <c r="D50" i="3"/>
  <c r="D42" i="3"/>
  <c r="D34" i="3"/>
  <c r="D26" i="3"/>
  <c r="D22" i="3"/>
  <c r="D25" i="1"/>
  <c r="F25" i="1" a="1"/>
  <c r="B34" i="1" a="1"/>
  <c r="B34" i="1" s="1"/>
  <c r="D69" i="1"/>
  <c r="F69" i="1" a="1"/>
  <c r="F69" i="1"/>
  <c r="A69" i="1" s="1"/>
  <c r="C69" i="1" s="1"/>
  <c r="D65" i="1"/>
  <c r="F65" i="1" a="1"/>
  <c r="F65" i="1"/>
  <c r="A65" i="1" s="1"/>
  <c r="C65" i="1" s="1"/>
  <c r="D17" i="1"/>
  <c r="A57" i="1" a="1"/>
  <c r="A57" i="1"/>
  <c r="A53" i="1" a="1"/>
  <c r="A53" i="1"/>
  <c r="A49" i="1" a="1"/>
  <c r="A49" i="1"/>
  <c r="A47" i="1" a="1"/>
  <c r="A47" i="1"/>
  <c r="A42" i="1" a="1"/>
  <c r="A42" i="1"/>
  <c r="A38" i="1" a="1"/>
  <c r="A38" i="1"/>
  <c r="A34" i="1" a="1"/>
  <c r="A34" i="1"/>
  <c r="A33" i="1" a="1"/>
  <c r="A33" i="1"/>
  <c r="A29" i="1" a="1"/>
  <c r="A29" i="1"/>
  <c r="A21" i="1" a="1"/>
  <c r="A21" i="1"/>
  <c r="A17" i="1" a="1"/>
  <c r="A17" i="1"/>
  <c r="A13" i="1" a="1"/>
  <c r="A13" i="1"/>
  <c r="A9" i="1" a="1"/>
  <c r="A9" i="1"/>
  <c r="A5" i="1" a="1"/>
  <c r="A5" i="1"/>
  <c r="A79" i="2"/>
  <c r="C79" i="2" s="1"/>
  <c r="A80" i="2"/>
  <c r="C80" i="2" s="1"/>
  <c r="L73" i="2"/>
  <c r="D78" i="2" s="1"/>
  <c r="K73" i="2"/>
  <c r="D75" i="2" s="1"/>
  <c r="J73" i="2"/>
  <c r="D72" i="2" s="1"/>
  <c r="I73" i="2"/>
  <c r="D69" i="2" s="1"/>
  <c r="L74" i="2"/>
  <c r="A78" i="2" s="1"/>
  <c r="C78" i="2" s="1"/>
  <c r="K74" i="2" a="1"/>
  <c r="K74" i="2"/>
  <c r="A75" i="2" s="1"/>
  <c r="C75" i="2" s="1"/>
  <c r="J74" i="2" a="1"/>
  <c r="J74" i="2"/>
  <c r="A72" i="2" s="1"/>
  <c r="C72" i="2" s="1"/>
  <c r="I74" i="2" a="1"/>
  <c r="I74" i="2"/>
  <c r="A69" i="2" s="1"/>
  <c r="C69" i="2" s="1"/>
  <c r="A60" i="2"/>
  <c r="C60" i="2" s="1"/>
  <c r="A61" i="2"/>
  <c r="C61" i="2" s="1"/>
  <c r="A62" i="2"/>
  <c r="C62" i="2" s="1"/>
  <c r="F59" i="2"/>
  <c r="A54" i="2" s="1"/>
  <c r="C54" i="2" s="1"/>
  <c r="F60" i="2"/>
  <c r="A59" i="2" s="1"/>
  <c r="C59" i="2" s="1"/>
  <c r="F61" i="2"/>
  <c r="A64" i="2" s="1"/>
  <c r="C64" i="2" s="1"/>
  <c r="G61" i="2"/>
  <c r="A65" i="2" s="1"/>
  <c r="C65" i="2" s="1"/>
  <c r="H61" i="2"/>
  <c r="A66" i="2" s="1"/>
  <c r="C66" i="2" s="1"/>
  <c r="I61" i="2"/>
  <c r="A67" i="2" s="1"/>
  <c r="C67" i="2" s="1"/>
  <c r="J61" i="2"/>
  <c r="A68" i="2" s="1"/>
  <c r="C68" i="2" s="1"/>
  <c r="J60" i="2"/>
  <c r="A63" i="2" s="1"/>
  <c r="C63" i="2" s="1"/>
  <c r="J59" i="2"/>
  <c r="A58" i="2" s="1"/>
  <c r="C58" i="2" s="1"/>
  <c r="I59" i="2"/>
  <c r="A57" i="2" s="1"/>
  <c r="C57" i="2" s="1"/>
  <c r="H59" i="2"/>
  <c r="A56" i="2" s="1"/>
  <c r="C56" i="2" s="1"/>
  <c r="G59" i="2"/>
  <c r="A55" i="2" s="1"/>
  <c r="C55" i="2" s="1"/>
  <c r="G45" i="2" a="1"/>
  <c r="G45" i="2"/>
  <c r="A45" i="2" s="1"/>
  <c r="C45" i="2" s="1"/>
  <c r="I9" i="2"/>
  <c r="I8" i="2"/>
  <c r="J10" i="2" a="1"/>
  <c r="J10" i="2" s="1"/>
  <c r="J9" i="2" a="1"/>
  <c r="J9" i="2" s="1"/>
  <c r="A37" i="2" s="1"/>
  <c r="C37" i="2" s="1"/>
  <c r="J8" i="2" a="1"/>
  <c r="J8" i="2" s="1"/>
  <c r="A36" i="2" s="1"/>
  <c r="C36" i="2" s="1"/>
  <c r="J7" i="2" a="1"/>
  <c r="J7" i="2"/>
  <c r="A35" i="2" s="1"/>
  <c r="C35" i="2" s="1"/>
  <c r="I6" i="2"/>
  <c r="J6" i="2"/>
  <c r="D35" i="2" s="1"/>
  <c r="D75" i="1"/>
  <c r="A75" i="1" a="1"/>
  <c r="A75" i="1"/>
  <c r="C75" i="1" s="1"/>
  <c r="C29" i="2"/>
  <c r="D34" i="2"/>
  <c r="A34" i="2" a="1"/>
  <c r="A34" i="2"/>
  <c r="C34" i="2" s="1"/>
  <c r="D47" i="1"/>
  <c r="C47" i="1"/>
  <c r="D30" i="2"/>
  <c r="A20" i="2"/>
  <c r="C20" i="2" s="1"/>
  <c r="A22" i="2"/>
  <c r="C22" i="2" s="1"/>
  <c r="A21" i="2"/>
  <c r="C21" i="2" s="1"/>
  <c r="D33" i="2"/>
  <c r="A33" i="2" a="1"/>
  <c r="A33" i="2"/>
  <c r="C33" i="2" s="1"/>
  <c r="D32" i="2"/>
  <c r="A32" i="2" a="1"/>
  <c r="A32" i="2"/>
  <c r="C32" i="2" s="1"/>
  <c r="D31" i="2"/>
  <c r="A31" i="2"/>
  <c r="C31" i="2" s="1"/>
  <c r="A28" i="2" a="1"/>
  <c r="A28" i="2"/>
  <c r="C28" i="2" s="1"/>
  <c r="A30" i="2" a="1"/>
  <c r="A30" i="2"/>
  <c r="C30" i="2" s="1"/>
  <c r="D29" i="2"/>
  <c r="D28" i="2"/>
  <c r="A12" i="2"/>
  <c r="C12" i="2" s="1"/>
  <c r="A13" i="2"/>
  <c r="C13" i="2" s="1"/>
  <c r="A11" i="2"/>
  <c r="C11" i="2" s="1"/>
  <c r="G6" i="2"/>
  <c r="A10" i="2" s="1"/>
  <c r="C10" i="2" s="1"/>
  <c r="F10" i="2"/>
  <c r="A9" i="2" s="1"/>
  <c r="C9" i="2" s="1"/>
  <c r="G10" i="2"/>
  <c r="H10" i="2"/>
  <c r="A19" i="2" s="1"/>
  <c r="C19" i="2" s="1"/>
  <c r="H9" i="2"/>
  <c r="A18" i="2" s="1"/>
  <c r="C18" i="2" s="1"/>
  <c r="H8" i="2"/>
  <c r="A17" i="2" s="1"/>
  <c r="C17" i="2" s="1"/>
  <c r="H7" i="2"/>
  <c r="A16" i="2" s="1"/>
  <c r="C16" i="2" s="1"/>
  <c r="H6" i="2"/>
  <c r="A15" i="2" s="1"/>
  <c r="C15" i="2" s="1"/>
  <c r="F6" i="2"/>
  <c r="A5" i="2" s="1"/>
  <c r="C5" i="2" s="1"/>
  <c r="F9" i="2"/>
  <c r="A8" i="2" s="1"/>
  <c r="C8" i="2" s="1"/>
  <c r="F8" i="2"/>
  <c r="A7" i="2" s="1"/>
  <c r="C7" i="2" s="1"/>
  <c r="F7" i="2"/>
  <c r="A6" i="2" s="1"/>
  <c r="C6" i="2" s="1"/>
  <c r="C17" i="1"/>
  <c r="D46" i="1"/>
  <c r="A46" i="1" a="1"/>
  <c r="A46" i="1"/>
  <c r="C46" i="1" s="1"/>
  <c r="D61" i="1"/>
  <c r="A61" i="1" a="1"/>
  <c r="A61" i="1"/>
  <c r="C61" i="1" s="1"/>
  <c r="D57" i="1"/>
  <c r="C57" i="1"/>
  <c r="C53" i="1"/>
  <c r="D53" i="1"/>
  <c r="D49" i="1"/>
  <c r="C49" i="1"/>
  <c r="C42" i="1"/>
  <c r="D42" i="1"/>
  <c r="D38" i="1"/>
  <c r="C38" i="1"/>
  <c r="D34" i="1"/>
  <c r="D33" i="1"/>
  <c r="C33" i="1"/>
  <c r="D29" i="1"/>
  <c r="D21" i="1"/>
  <c r="C13" i="1"/>
  <c r="D13" i="1"/>
  <c r="C9" i="1"/>
  <c r="D9" i="1"/>
  <c r="D5" i="1"/>
  <c r="C5" i="1"/>
  <c r="F25" i="1" l="1"/>
  <c r="A25" i="1" s="1"/>
  <c r="C25" i="1" s="1"/>
  <c r="A28" i="1"/>
  <c r="C28" i="1" s="1"/>
  <c r="A26" i="1"/>
  <c r="C26" i="1" s="1"/>
  <c r="A27" i="1"/>
  <c r="C27" i="1" s="1"/>
  <c r="D20" i="2"/>
  <c r="A6" i="3"/>
  <c r="C6" i="3" s="1"/>
  <c r="A7" i="3" a="1"/>
  <c r="G5" i="3"/>
  <c r="A25" i="3"/>
  <c r="C25" i="3" s="1"/>
  <c r="A24" i="3"/>
  <c r="C24" i="3" s="1"/>
  <c r="A23" i="3"/>
  <c r="C23" i="3" s="1"/>
  <c r="H5" i="3"/>
  <c r="F103" i="3" a="1"/>
  <c r="F103" i="3" s="1"/>
  <c r="A103" i="3" s="1"/>
  <c r="C103" i="3" s="1"/>
  <c r="F102" i="3" a="1"/>
  <c r="F102" i="3" s="1"/>
  <c r="A102" i="3" s="1"/>
  <c r="C102" i="3" s="1"/>
  <c r="K93" i="3"/>
  <c r="A99" i="3" s="1" a="1"/>
  <c r="F93" i="3"/>
  <c r="A93" i="3" s="1"/>
  <c r="C93" i="3" s="1"/>
  <c r="G111" i="3"/>
  <c r="A74" i="1"/>
  <c r="C74" i="1" s="1"/>
  <c r="A73" i="1"/>
  <c r="C73" i="1" s="1"/>
  <c r="A72" i="1"/>
  <c r="C72" i="1" s="1"/>
  <c r="A71" i="1"/>
  <c r="C71" i="1" s="1"/>
  <c r="A70" i="1"/>
  <c r="C70" i="1" s="1"/>
  <c r="A68" i="1"/>
  <c r="C68" i="1" s="1"/>
  <c r="A67" i="1"/>
  <c r="C67" i="1" s="1"/>
  <c r="A66" i="1"/>
  <c r="C66" i="1" s="1"/>
  <c r="C77" i="1"/>
  <c r="C76" i="1"/>
  <c r="A70" i="2"/>
  <c r="C70" i="2" s="1"/>
  <c r="A71" i="2"/>
  <c r="C71" i="2" s="1"/>
  <c r="A73" i="2"/>
  <c r="C73" i="2" s="1"/>
  <c r="A74" i="2"/>
  <c r="C74" i="2" s="1"/>
  <c r="A76" i="2"/>
  <c r="C76" i="2" s="1"/>
  <c r="A77" i="2"/>
  <c r="C77" i="2" s="1"/>
  <c r="A38" i="2"/>
  <c r="C38" i="2" s="1"/>
  <c r="A46" i="2"/>
  <c r="C46" i="2" s="1"/>
  <c r="A47" i="2"/>
  <c r="C47" i="2" s="1"/>
  <c r="F44" i="2"/>
  <c r="A39" i="2" s="1"/>
  <c r="C39" i="2" s="1"/>
  <c r="G44" i="2"/>
  <c r="A44" i="2" s="1"/>
  <c r="C44" i="2" s="1"/>
  <c r="H44" i="2"/>
  <c r="A49" i="2" s="1"/>
  <c r="C49" i="2" s="1"/>
  <c r="H48" i="2"/>
  <c r="G48" i="2"/>
  <c r="A48" i="2" s="1"/>
  <c r="C48" i="2" s="1"/>
  <c r="F48" i="2"/>
  <c r="A43" i="2" s="1"/>
  <c r="C43" i="2" s="1"/>
  <c r="F47" i="2"/>
  <c r="A42" i="2" s="1"/>
  <c r="C42" i="2" s="1"/>
  <c r="F46" i="2"/>
  <c r="A41" i="2" s="1"/>
  <c r="C41" i="2" s="1"/>
  <c r="F45" i="2"/>
  <c r="A40" i="2" s="1"/>
  <c r="C40" i="2" s="1"/>
  <c r="H47" i="2"/>
  <c r="A52" i="2" s="1"/>
  <c r="C52" i="2" s="1"/>
  <c r="H45" i="2"/>
  <c r="A50" i="2" s="1"/>
  <c r="C50" i="2" s="1"/>
  <c r="H46" i="2"/>
  <c r="A51" i="2" s="1"/>
  <c r="C51" i="2" s="1"/>
  <c r="C48" i="1"/>
  <c r="A14" i="2"/>
  <c r="C14" i="2" s="1"/>
  <c r="A23" i="2"/>
  <c r="C23" i="2" s="1"/>
  <c r="C6" i="1"/>
  <c r="C7" i="1"/>
  <c r="C8" i="1"/>
  <c r="C10" i="1"/>
  <c r="C11" i="1"/>
  <c r="C12" i="1"/>
  <c r="C14" i="1"/>
  <c r="C15" i="1"/>
  <c r="C16" i="1"/>
  <c r="C21" i="1"/>
  <c r="C22" i="1"/>
  <c r="C23" i="1"/>
  <c r="C24" i="1"/>
  <c r="C18" i="1"/>
  <c r="C19" i="1"/>
  <c r="C20" i="1"/>
  <c r="C64" i="1"/>
  <c r="C63" i="1"/>
  <c r="C62" i="1"/>
  <c r="C60" i="1"/>
  <c r="C59" i="1"/>
  <c r="C58" i="1"/>
  <c r="C45" i="1"/>
  <c r="C44" i="1"/>
  <c r="C43" i="1"/>
  <c r="C50" i="1"/>
  <c r="C51" i="1"/>
  <c r="C52" i="1"/>
  <c r="C56" i="1"/>
  <c r="C55" i="1"/>
  <c r="C54" i="1"/>
  <c r="C41" i="1"/>
  <c r="C40" i="1"/>
  <c r="C39" i="1"/>
  <c r="C34" i="1"/>
  <c r="C37" i="1"/>
  <c r="C36" i="1"/>
  <c r="C35" i="1"/>
  <c r="C32" i="1"/>
  <c r="C31" i="1"/>
  <c r="C30" i="1"/>
  <c r="C29" i="1"/>
  <c r="A19" i="3" l="1" a="1"/>
  <c r="A19" i="3" s="1"/>
  <c r="A16" i="3" a="1"/>
  <c r="A54" i="3" a="1"/>
  <c r="A13" i="3" a="1"/>
  <c r="A10" i="3" a="1"/>
  <c r="A7" i="3"/>
  <c r="C7" i="3" s="1"/>
  <c r="C9" i="3"/>
  <c r="C8" i="3"/>
  <c r="C101" i="3"/>
  <c r="C100" i="3"/>
  <c r="A89" i="3" a="1"/>
  <c r="A38" i="3" a="1"/>
  <c r="C56" i="3"/>
  <c r="C55" i="3"/>
  <c r="G113" i="3" a="1"/>
  <c r="G112" i="3" a="1"/>
  <c r="F109" i="3" a="1"/>
  <c r="F109" i="3" s="1"/>
  <c r="A109" i="3" s="1"/>
  <c r="C109" i="3" s="1"/>
  <c r="F104" i="3" a="1"/>
  <c r="A99" i="3"/>
  <c r="C99" i="3" s="1"/>
  <c r="A22" i="3"/>
  <c r="C22" i="3" s="1"/>
  <c r="A80" i="3"/>
  <c r="C80" i="3" s="1"/>
  <c r="A79" i="3"/>
  <c r="C79" i="3" s="1"/>
  <c r="A78" i="3"/>
  <c r="C78" i="3" s="1"/>
  <c r="A85" i="3" a="1"/>
  <c r="A61" i="3" a="1"/>
  <c r="A30" i="3" a="1"/>
  <c r="A77" i="3"/>
  <c r="C77" i="3" s="1"/>
  <c r="A76" i="3"/>
  <c r="C76" i="3" s="1"/>
  <c r="A81" i="3" a="1"/>
  <c r="A75" i="3"/>
  <c r="C75" i="3" s="1"/>
  <c r="A71" i="3" a="1"/>
  <c r="A65" i="3" a="1"/>
  <c r="A57" i="3" a="1"/>
  <c r="A42" i="3" a="1"/>
  <c r="A34" i="3" a="1"/>
  <c r="A26" i="3" a="1"/>
  <c r="A54" i="3"/>
  <c r="C54" i="3" s="1"/>
  <c r="A3" i="1"/>
  <c r="A53" i="2"/>
  <c r="C53" i="2" s="1"/>
  <c r="A3" i="2" s="1"/>
  <c r="A13" i="3" l="1"/>
  <c r="C13" i="3" s="1"/>
  <c r="C15" i="3"/>
  <c r="C14" i="3"/>
  <c r="C17" i="3"/>
  <c r="C18" i="3"/>
  <c r="A16" i="3"/>
  <c r="C16" i="3" s="1"/>
  <c r="C12" i="3"/>
  <c r="C11" i="3"/>
  <c r="A10" i="3"/>
  <c r="C10" i="3" s="1"/>
  <c r="C21" i="3"/>
  <c r="C20" i="3"/>
  <c r="C19" i="3"/>
  <c r="C29" i="3"/>
  <c r="C28" i="3"/>
  <c r="C27" i="3"/>
  <c r="C37" i="3"/>
  <c r="C36" i="3"/>
  <c r="C35" i="3"/>
  <c r="C45" i="3"/>
  <c r="C44" i="3"/>
  <c r="C43" i="3"/>
  <c r="C60" i="3"/>
  <c r="C59" i="3"/>
  <c r="C58" i="3"/>
  <c r="C67" i="3"/>
  <c r="C66" i="3"/>
  <c r="C74" i="3"/>
  <c r="C73" i="3"/>
  <c r="C72" i="3"/>
  <c r="C84" i="3"/>
  <c r="C83" i="3"/>
  <c r="C82" i="3"/>
  <c r="C33" i="3"/>
  <c r="C32" i="3"/>
  <c r="C31" i="3"/>
  <c r="C64" i="3"/>
  <c r="C63" i="3"/>
  <c r="C62" i="3"/>
  <c r="C88" i="3"/>
  <c r="C87" i="3"/>
  <c r="C86" i="3"/>
  <c r="A38" i="3"/>
  <c r="C38" i="3" s="1"/>
  <c r="C41" i="3"/>
  <c r="C40" i="3"/>
  <c r="A89" i="3"/>
  <c r="C89" i="3" s="1"/>
  <c r="C92" i="3"/>
  <c r="C91" i="3"/>
  <c r="C90" i="3"/>
  <c r="C39" i="3"/>
  <c r="A26" i="3"/>
  <c r="C26" i="3" s="1"/>
  <c r="A34" i="3"/>
  <c r="C34" i="3" s="1"/>
  <c r="A42" i="3"/>
  <c r="C42" i="3" s="1"/>
  <c r="A57" i="3"/>
  <c r="C57" i="3" s="1"/>
  <c r="A65" i="3"/>
  <c r="C65" i="3" s="1"/>
  <c r="A71" i="3"/>
  <c r="C71" i="3" s="1"/>
  <c r="A81" i="3"/>
  <c r="C81" i="3" s="1"/>
  <c r="A30" i="3"/>
  <c r="C30" i="3" s="1"/>
  <c r="A61" i="3"/>
  <c r="C61" i="3" s="1"/>
  <c r="A85" i="3"/>
  <c r="C85" i="3" s="1"/>
  <c r="F104" i="3"/>
  <c r="A104" i="3" s="1"/>
  <c r="C104" i="3" s="1"/>
  <c r="F105" i="3" a="1"/>
  <c r="A112" i="3"/>
  <c r="C112" i="3" s="1"/>
  <c r="G112" i="3"/>
  <c r="A110" i="3" s="1"/>
  <c r="C110" i="3" s="1"/>
  <c r="A111" i="3"/>
  <c r="C111" i="3" s="1"/>
  <c r="A115" i="3"/>
  <c r="C115" i="3" s="1"/>
  <c r="A114" i="3"/>
  <c r="C114" i="3" s="1"/>
  <c r="G113" i="3"/>
  <c r="A113" i="3" s="1"/>
  <c r="C113" i="3" s="1"/>
  <c r="A3" i="3" l="1"/>
  <c r="A106" i="3"/>
  <c r="C106" i="3" s="1"/>
  <c r="A107" i="3"/>
  <c r="C107" i="3" s="1"/>
  <c r="F105" i="3"/>
  <c r="A105" i="3" s="1"/>
  <c r="C105" i="3" s="1"/>
  <c r="A46" i="3" a="1"/>
  <c r="C49" i="3" l="1"/>
  <c r="C48" i="3"/>
  <c r="C47" i="3"/>
  <c r="A46" i="3"/>
  <c r="C46" i="3" s="1"/>
  <c r="A50" i="3" a="1"/>
  <c r="C53" i="3" l="1"/>
  <c r="C52" i="3"/>
  <c r="C51" i="3"/>
  <c r="A50" i="3"/>
  <c r="C50" i="3" s="1"/>
  <c r="A68" i="3" l="1" a="1"/>
  <c r="C70" i="3" l="1"/>
  <c r="C69" i="3"/>
  <c r="A68" i="3"/>
  <c r="C6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<sst xmlns="http://schemas.openxmlformats.org/spreadsheetml/2006/main" count="41" uniqueCount="25">
  <si>
    <t>CSE Array Spill Cases</t>
  </si>
  <si>
    <t>Total</t>
  </si>
  <si>
    <t>Value</t>
  </si>
  <si>
    <t>Expected</t>
  </si>
  <si>
    <t>Result</t>
  </si>
  <si>
    <t>Formula</t>
  </si>
  <si>
    <t>Comment</t>
  </si>
  <si>
    <t>Data 1</t>
  </si>
  <si>
    <t>Data 2</t>
  </si>
  <si>
    <t>2x!</t>
  </si>
  <si>
    <t>43!</t>
  </si>
  <si>
    <t>7TRUE!</t>
  </si>
  <si>
    <t>78.4!</t>
  </si>
  <si>
    <t>Implicit intersection Operator (Operator @)</t>
  </si>
  <si>
    <t>Data</t>
  </si>
  <si>
    <t>SPILL OPERATOR</t>
  </si>
  <si>
    <t>COLUMN ORIENTED INTERSECTION</t>
  </si>
  <si>
    <t>Spill (#) Operator</t>
  </si>
  <si>
    <t>64 = array</t>
  </si>
  <si>
    <t>Choose</t>
  </si>
  <si>
    <t>¸</t>
  </si>
  <si>
    <t>Number - #REF!</t>
  </si>
  <si>
    <t>String - #REF!</t>
  </si>
  <si>
    <t>A</t>
  </si>
  <si>
    <t>Horizontal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</si>
</sst>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ourier New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0" xfId="0" applyFont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" fillId="4" borderId="0" xfId="0" applyFont="1" applyFill="1"/>
    <xf numFmtId="0" fontId="0" fillId="0" borderId="0" xfId="0" applyFill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9" borderId="0" xfId="0" applyFont="1" applyFill="1"/>
    <xf numFmtId="0" fontId="3" fillId="0" borderId="0" xfId="0" applyFont="1"/>
    <xf numFmtId="0" fontId="3" fillId="13" borderId="0" xfId="0" applyFont="1" applyFill="1"/>
    <xf numFmtId="0" fontId="0" fillId="15" borderId="0" xfId="0" applyFill="1"/>
    <xf numFmtId="0" fontId="0" fillId="16" borderId="0" xfId="0" applyFill="1"/>
    <xf numFmtId="0" fontId="0" fillId="0" borderId="0" xfId="0" quotePrefix="1"/>
    <xf numFmtId="0" fontId="1" fillId="0" borderId="0" xfId="0" applyFont="1" applyAlignment="1"/>
    <xf numFmtId="0" fontId="0" fillId="14" borderId="0" xfId="0" applyFill="1" applyAlignment="1"/>
    <xf numFmtId="0" fontId="0" fillId="0" borderId="0" xfId="0" applyFill="1" applyAlignment="1"/>
    <xf numFmtId="0" fontId="3" fillId="16" borderId="0" xfId="0" applyFont="1" applyFill="1"/>
    <xf numFmtId="0" fontId="0" fillId="17" borderId="0" xfId="0" applyFill="1"/>
    <xf numFmtId="0" fontId="0" fillId="0" borderId="0" xfId="0" applyFont="1"/>
    <xf numFmtId="0" fontId="0" fillId="5" borderId="0" xfId="0" applyFont="1" applyFill="1"/>
    <xf numFmtId="0" fontId="2" fillId="0" borderId="0" xfId="0" applyFont="1" applyAlignment="1">
      <alignment horizontal="center"/>
    </xf>
    <xf numFmtId="0" fontId="0" fillId="4" borderId="0" xfId="0" applyFont="1" applyFill="1"/>
    <xf numFmtId="0" fontId="0" fillId="3" borderId="0" xfId="0" applyFont="1" applyFill="1"/>
    <xf numFmtId="0" fontId="0" fillId="2" borderId="0" xfId="0" applyFont="1" applyFill="1"/>
    <xf numFmtId="0" fontId="0" fillId="6" borderId="0" xfId="0" applyFont="1" applyFill="1"/>
    <xf numFmtId="0" fontId="0" fillId="7" borderId="0" xfId="0" applyFont="1" applyFill="1"/>
    <xf numFmtId="0" fontId="2" fillId="0" borderId="0" xfId="0" applyFont="1" applyAlignment="1">
      <alignment horizontal="left"/>
    </xf>
    <xf numFmtId="0" fontId="3" fillId="4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1" fillId="0" borderId="0" xfId="0" applyFont="1" applyAlignment="1">
      <alignment horizontal="left"/>
    </xf>
    <xf numFmtId="0" fontId="3" fillId="7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opLeftCell="A54" workbookViewId="0">
      <selection activeCell="C82" sqref="C82"/>
    </sheetView>
  </sheetViews>
  <sheetFormatPr defaultRowHeight="15"/>
  <cols>
    <col min="1" max="1" width="10.7109375" customWidth="1"/>
    <col min="3" max="3" width="9.5703125" bestFit="1" customWidth="1"/>
    <col min="4" max="4" width="83.5703125" customWidth="1"/>
    <col min="5" max="5" width="17.5703125" customWidth="1"/>
    <col min="10" max="10" width="30.140625" bestFit="1" customWidth="1"/>
    <col min="13" max="13" width="58.140625" bestFit="1" customWidth="1"/>
    <col min="16" max="16" width="39.42578125" bestFit="1" customWidth="1"/>
  </cols>
  <sheetData>
    <row r="1" spans="1:7" ht="26.25">
      <c r="A1" s="46" t="s">
        <v>0</v>
      </c>
      <c r="B1" s="46"/>
      <c r="C1" s="46"/>
      <c r="D1" s="46"/>
      <c r="E1" s="46"/>
      <c r="F1" s="46"/>
      <c r="G1" s="46"/>
    </row>
    <row r="2" spans="1:7">
      <c r="A2" s="9" t="s">
        <v>1</v>
      </c>
    </row>
    <row r="3" spans="1:7">
      <c r="A3" s="14" t="b">
        <f ca="1">AND(C5:C400)</f>
        <v>1</v>
      </c>
    </row>
    <row r="4" spans="1:7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</row>
    <row r="5" spans="1:7">
      <c r="A5" s="1" cm="1">
        <f t="array" ref="A5:A8">F5:F8</f>
        <v>2</v>
      </c>
      <c r="B5" s="1">
        <v>2</v>
      </c>
      <c r="C5" s="1" t="b">
        <f>B5=A5</f>
        <v>1</v>
      </c>
      <c r="D5" s="17" t="str">
        <f ca="1">_xlfn.FORMULATEXT(A5)</f>
        <v>=F5:F8</v>
      </c>
      <c r="F5">
        <v>2</v>
      </c>
      <c r="G5">
        <v>4</v>
      </c>
    </row>
    <row r="6" spans="1:7">
      <c r="A6" s="1">
        <v>4</v>
      </c>
      <c r="B6" s="1">
        <v>4</v>
      </c>
      <c r="C6" s="1" t="b">
        <f t="shared" ref="C6:C8" si="0">B6=A6</f>
        <v>1</v>
      </c>
      <c r="D6" s="17"/>
      <c r="F6">
        <v>4</v>
      </c>
      <c r="G6">
        <v>2</v>
      </c>
    </row>
    <row r="7" spans="1:7">
      <c r="A7" s="1">
        <v>7</v>
      </c>
      <c r="B7" s="1">
        <v>7</v>
      </c>
      <c r="C7" s="1" t="b">
        <f t="shared" si="0"/>
        <v>1</v>
      </c>
      <c r="D7" s="17"/>
      <c r="F7">
        <v>7</v>
      </c>
      <c r="G7">
        <v>6</v>
      </c>
    </row>
    <row r="8" spans="1:7">
      <c r="A8" s="1">
        <v>7</v>
      </c>
      <c r="B8" s="1">
        <v>7</v>
      </c>
      <c r="C8" s="1" t="b">
        <f t="shared" si="0"/>
        <v>1</v>
      </c>
      <c r="D8" s="17"/>
      <c r="F8">
        <v>7</v>
      </c>
      <c r="G8">
        <v>4</v>
      </c>
    </row>
    <row r="9" spans="1:7">
      <c r="A9" s="2" cm="1">
        <f t="array" ref="A9:A12">F5:F8 * 2</f>
        <v>4</v>
      </c>
      <c r="B9" s="2">
        <v>4</v>
      </c>
      <c r="C9" s="2" t="b">
        <f>B9=A9</f>
        <v>1</v>
      </c>
      <c r="D9" s="18" t="str">
        <f ca="1">_xlfn.FORMULATEXT(A9)</f>
        <v>=F5:F8 * 2</v>
      </c>
    </row>
    <row r="10" spans="1:7">
      <c r="A10" s="2">
        <v>8</v>
      </c>
      <c r="B10" s="2">
        <v>8</v>
      </c>
      <c r="C10" s="2" t="b">
        <f t="shared" ref="C10:C12" si="1">B10=A10</f>
        <v>1</v>
      </c>
      <c r="D10" s="18"/>
    </row>
    <row r="11" spans="1:7">
      <c r="A11" s="2">
        <v>14</v>
      </c>
      <c r="B11" s="2">
        <v>14</v>
      </c>
      <c r="C11" s="2" t="b">
        <f t="shared" si="1"/>
        <v>1</v>
      </c>
      <c r="D11" s="18"/>
    </row>
    <row r="12" spans="1:7">
      <c r="A12" s="2">
        <v>14</v>
      </c>
      <c r="B12" s="2">
        <v>14</v>
      </c>
      <c r="C12" s="2" t="b">
        <f t="shared" si="1"/>
        <v>1</v>
      </c>
      <c r="D12" s="18"/>
    </row>
    <row r="13" spans="1:7">
      <c r="A13" s="3" cm="1">
        <f t="array" ref="A13:A16">F5:F8 + G5:G8</f>
        <v>6</v>
      </c>
      <c r="B13" s="3">
        <v>6</v>
      </c>
      <c r="C13" s="3" t="b">
        <f>B13=A13</f>
        <v>1</v>
      </c>
      <c r="D13" s="19" t="str">
        <f ca="1">_xlfn.FORMULATEXT(A13)</f>
        <v>=F5:F8 + G5:G8</v>
      </c>
    </row>
    <row r="14" spans="1:7">
      <c r="A14" s="3">
        <v>6</v>
      </c>
      <c r="B14" s="3">
        <v>6</v>
      </c>
      <c r="C14" s="3" t="b">
        <f t="shared" ref="C14:C16" si="2">B14=A14</f>
        <v>1</v>
      </c>
      <c r="D14" s="19"/>
    </row>
    <row r="15" spans="1:7">
      <c r="A15" s="3">
        <v>13</v>
      </c>
      <c r="B15" s="3">
        <v>13</v>
      </c>
      <c r="C15" s="3" t="b">
        <f t="shared" si="2"/>
        <v>1</v>
      </c>
      <c r="D15" s="19"/>
    </row>
    <row r="16" spans="1:7">
      <c r="A16" s="3">
        <v>11</v>
      </c>
      <c r="B16" s="3">
        <v>11</v>
      </c>
      <c r="C16" s="3" t="b">
        <f t="shared" si="2"/>
        <v>1</v>
      </c>
      <c r="D16" s="19"/>
    </row>
    <row r="17" spans="1:6">
      <c r="A17" s="4" cm="1">
        <f t="array" ref="A17:A20">IF(TRUE, F5:F8, G5:G8)</f>
        <v>2</v>
      </c>
      <c r="B17" s="4">
        <v>2</v>
      </c>
      <c r="C17" s="4" t="b">
        <f>B17=A17</f>
        <v>1</v>
      </c>
      <c r="D17" s="20" t="str">
        <f ca="1">_xlfn.FORMULATEXT(A17)</f>
        <v>=IF(TRUE, F5:F8, G5:G8)</v>
      </c>
    </row>
    <row r="18" spans="1:6">
      <c r="A18" s="4">
        <v>4</v>
      </c>
      <c r="B18" s="4">
        <v>4</v>
      </c>
      <c r="C18" s="4" t="b">
        <f t="shared" ref="C18:C28" si="3">B18=A18</f>
        <v>1</v>
      </c>
      <c r="D18" s="20"/>
    </row>
    <row r="19" spans="1:6">
      <c r="A19" s="4">
        <v>7</v>
      </c>
      <c r="B19" s="4">
        <v>7</v>
      </c>
      <c r="C19" s="4" t="b">
        <f t="shared" si="3"/>
        <v>1</v>
      </c>
      <c r="D19" s="20"/>
    </row>
    <row r="20" spans="1:6">
      <c r="A20" s="4">
        <v>7</v>
      </c>
      <c r="B20" s="4">
        <v>7</v>
      </c>
      <c r="C20" s="4" t="b">
        <f t="shared" si="3"/>
        <v>1</v>
      </c>
      <c r="D20" s="20"/>
    </row>
    <row r="21" spans="1:6">
      <c r="A21" s="5" cm="1">
        <f t="array" ref="A21:A24">TRANSPOSE(TRANSPOSE(F5:F8))</f>
        <v>2</v>
      </c>
      <c r="B21" s="5">
        <v>2</v>
      </c>
      <c r="C21" s="5" t="b">
        <f t="shared" si="3"/>
        <v>1</v>
      </c>
      <c r="D21" s="21" t="str">
        <f ca="1">_xlfn.FORMULATEXT(A21)</f>
        <v>=TRANSPOSE(TRANSPOSE(F5:F8))</v>
      </c>
    </row>
    <row r="22" spans="1:6">
      <c r="A22" s="5">
        <v>4</v>
      </c>
      <c r="B22" s="5">
        <v>4</v>
      </c>
      <c r="C22" s="5" t="b">
        <f t="shared" si="3"/>
        <v>1</v>
      </c>
      <c r="D22" s="21"/>
    </row>
    <row r="23" spans="1:6">
      <c r="A23" s="5">
        <v>7</v>
      </c>
      <c r="B23" s="5">
        <v>7</v>
      </c>
      <c r="C23" s="5" t="b">
        <f t="shared" si="3"/>
        <v>1</v>
      </c>
      <c r="D23" s="21"/>
    </row>
    <row r="24" spans="1:6">
      <c r="A24" s="5">
        <v>7</v>
      </c>
      <c r="B24" s="5">
        <v>7</v>
      </c>
      <c r="C24" s="5" t="b">
        <f t="shared" si="3"/>
        <v>1</v>
      </c>
      <c r="D24" s="21"/>
    </row>
    <row r="25" spans="1:6">
      <c r="A25" s="6">
        <f>F25</f>
        <v>2</v>
      </c>
      <c r="B25" s="6">
        <v>2</v>
      </c>
      <c r="C25" s="6" t="b">
        <f t="shared" si="3"/>
        <v>1</v>
      </c>
      <c r="D25" s="22" t="str">
        <f ca="1">_xlfn.FORMULATEXT(F25)</f>
        <v>=F5:F8 * {1;2;3}</v>
      </c>
      <c r="F25" cm="1">
        <f t="array" ref="F25:F28">F5:F8 * {1;2;3}</f>
        <v>2</v>
      </c>
    </row>
    <row r="26" spans="1:6">
      <c r="A26" s="6">
        <f t="shared" ref="A26:A28" si="4">F26</f>
        <v>8</v>
      </c>
      <c r="B26" s="6">
        <v>8</v>
      </c>
      <c r="C26" s="6" t="b">
        <f t="shared" si="3"/>
        <v>1</v>
      </c>
      <c r="D26" s="22"/>
      <c r="F26">
        <v>8</v>
      </c>
    </row>
    <row r="27" spans="1:6">
      <c r="A27" s="6">
        <f t="shared" si="4"/>
        <v>21</v>
      </c>
      <c r="B27" s="6">
        <v>21</v>
      </c>
      <c r="C27" s="6" t="b">
        <f t="shared" si="3"/>
        <v>1</v>
      </c>
      <c r="D27" s="22"/>
      <c r="F27">
        <v>21</v>
      </c>
    </row>
    <row r="28" spans="1:6">
      <c r="A28" s="6">
        <f>ERROR.TYPE(F28)</f>
        <v>7</v>
      </c>
      <c r="B28" s="6">
        <v>7</v>
      </c>
      <c r="C28" s="6" t="b">
        <f t="shared" si="3"/>
        <v>1</v>
      </c>
      <c r="D28" s="22"/>
      <c r="F28" t="e">
        <v>#N/A</v>
      </c>
    </row>
    <row r="29" spans="1:6">
      <c r="A29" s="1" cm="1">
        <f t="array" ref="A29:A32">_xlfn._xlws.SORT(F5:F8 + G5:G8)</f>
        <v>6</v>
      </c>
      <c r="B29" s="1">
        <v>6</v>
      </c>
      <c r="C29" s="1" t="b">
        <f>B29=A29</f>
        <v>1</v>
      </c>
      <c r="D29" s="17" t="str">
        <f ca="1">_xlfn.FORMULATEXT(A29)</f>
        <v>=SORT(F5:F8 + G5:G8)</v>
      </c>
    </row>
    <row r="30" spans="1:6">
      <c r="A30" s="1">
        <v>6</v>
      </c>
      <c r="B30" s="1">
        <v>6</v>
      </c>
      <c r="C30" s="1" t="b">
        <f t="shared" ref="C30:C33" si="5">B30=A30</f>
        <v>1</v>
      </c>
      <c r="D30" s="17"/>
    </row>
    <row r="31" spans="1:6">
      <c r="A31" s="1">
        <v>11</v>
      </c>
      <c r="B31" s="1">
        <v>11</v>
      </c>
      <c r="C31" s="1" t="b">
        <f t="shared" si="5"/>
        <v>1</v>
      </c>
      <c r="D31" s="17"/>
    </row>
    <row r="32" spans="1:6">
      <c r="A32" s="1">
        <v>13</v>
      </c>
      <c r="B32" s="1">
        <v>13</v>
      </c>
      <c r="C32" s="1" t="b">
        <f t="shared" si="5"/>
        <v>1</v>
      </c>
      <c r="D32" s="17"/>
    </row>
    <row r="33" spans="1:4">
      <c r="A33" s="7" cm="1">
        <f t="array" ref="A33">SUM(F5:F8+G5:G8)</f>
        <v>36</v>
      </c>
      <c r="B33" s="7">
        <v>36</v>
      </c>
      <c r="C33" s="7" t="b">
        <f t="shared" si="5"/>
        <v>1</v>
      </c>
      <c r="D33" s="23" t="str">
        <f ca="1">_xlfn.FORMULATEXT(A33)</f>
        <v>=SUM(F5:F8+G5:G8)</v>
      </c>
    </row>
    <row r="34" spans="1:4">
      <c r="A34" s="10" cm="1">
        <f t="array" ref="A34:A37">IF(SUM(F5:F8) &gt; 10, IF(SUM(G5:G8) &lt; 10, F5:F8, G5:G8), F5:F8 * 2)</f>
        <v>4</v>
      </c>
      <c r="B34" s="10" cm="1">
        <f t="array" ref="B34:B37">IF(SUM(G5:G8) &gt; 10, IF(SUM(F3:F3) &lt; 10, G5:G8, F3:F3), G5:G8 * 2)</f>
        <v>4</v>
      </c>
      <c r="C34" s="10" t="b">
        <f>B34=A34</f>
        <v>1</v>
      </c>
      <c r="D34" s="24" t="str">
        <f ca="1">_xlfn.FORMULATEXT(A34)</f>
        <v>=IF(SUM(F5:F8) &gt; 10, IF(SUM(G5:G8) &lt; 10, F5:F8, G5:G8), F5:F8 * 2)</v>
      </c>
    </row>
    <row r="35" spans="1:4">
      <c r="A35" s="10">
        <v>2</v>
      </c>
      <c r="B35" s="10">
        <v>2</v>
      </c>
      <c r="C35" s="10" t="b">
        <f>B35=A35</f>
        <v>1</v>
      </c>
      <c r="D35" s="24"/>
    </row>
    <row r="36" spans="1:4">
      <c r="A36" s="10">
        <v>6</v>
      </c>
      <c r="B36" s="10">
        <v>6</v>
      </c>
      <c r="C36" s="10" t="b">
        <f>B36=A36</f>
        <v>1</v>
      </c>
      <c r="D36" s="24"/>
    </row>
    <row r="37" spans="1:4">
      <c r="A37" s="10">
        <v>4</v>
      </c>
      <c r="B37" s="10">
        <v>4</v>
      </c>
      <c r="C37" s="10" t="b">
        <f>B37=A37</f>
        <v>1</v>
      </c>
      <c r="D37" s="24"/>
    </row>
    <row r="38" spans="1:4">
      <c r="A38" s="11" cm="1">
        <f t="array" ref="A38:A41">IF(COUNT(F5:F8) &gt; 3, F5:F8, 5)</f>
        <v>2</v>
      </c>
      <c r="B38" s="11">
        <v>2</v>
      </c>
      <c r="C38" s="11" t="b">
        <f>B38=A38</f>
        <v>1</v>
      </c>
      <c r="D38" s="25" t="str">
        <f ca="1">_xlfn.FORMULATEXT(A38)</f>
        <v>=IF(COUNT(F5:F8) &gt; 3, F5:F8, 5)</v>
      </c>
    </row>
    <row r="39" spans="1:4">
      <c r="A39" s="11">
        <v>4</v>
      </c>
      <c r="B39" s="11">
        <v>4</v>
      </c>
      <c r="C39" s="11" t="b">
        <f>B39=A39</f>
        <v>1</v>
      </c>
      <c r="D39" s="25"/>
    </row>
    <row r="40" spans="1:4">
      <c r="A40" s="11">
        <v>7</v>
      </c>
      <c r="B40" s="11">
        <v>7</v>
      </c>
      <c r="C40" s="11" t="b">
        <f>B40=A40</f>
        <v>1</v>
      </c>
      <c r="D40" s="25"/>
    </row>
    <row r="41" spans="1:4">
      <c r="A41" s="11">
        <v>7</v>
      </c>
      <c r="B41" s="11">
        <v>7</v>
      </c>
      <c r="C41" s="11" t="b">
        <f>B41=A41</f>
        <v>1</v>
      </c>
      <c r="D41" s="25"/>
    </row>
    <row r="42" spans="1:4">
      <c r="A42" s="12" cm="1">
        <f t="array" ref="A42:A45">IFERROR(G5:G8/0, F5:F8)</f>
        <v>2</v>
      </c>
      <c r="B42" s="12">
        <v>2</v>
      </c>
      <c r="C42" s="12" t="b">
        <f>B42=A42</f>
        <v>1</v>
      </c>
      <c r="D42" s="26" t="str">
        <f ca="1">_xlfn.FORMULATEXT(A42)</f>
        <v>=IFERROR(G5:G8/0, F5:F8)</v>
      </c>
    </row>
    <row r="43" spans="1:4">
      <c r="A43" s="12">
        <v>4</v>
      </c>
      <c r="B43" s="12">
        <v>4</v>
      </c>
      <c r="C43" s="12" t="b">
        <f>B43=A43</f>
        <v>1</v>
      </c>
      <c r="D43" s="26"/>
    </row>
    <row r="44" spans="1:4">
      <c r="A44" s="12">
        <v>7</v>
      </c>
      <c r="B44" s="12">
        <v>7</v>
      </c>
      <c r="C44" s="12" t="b">
        <f>B44=A44</f>
        <v>1</v>
      </c>
      <c r="D44" s="26"/>
    </row>
    <row r="45" spans="1:4">
      <c r="A45" s="12">
        <v>7</v>
      </c>
      <c r="B45" s="12">
        <v>7</v>
      </c>
      <c r="C45" s="12" t="b">
        <f>B45=A45</f>
        <v>1</v>
      </c>
      <c r="D45" s="26"/>
    </row>
    <row r="46" spans="1:4">
      <c r="A46" s="6" cm="1">
        <f t="array" ref="A46">F5:F5</f>
        <v>2</v>
      </c>
      <c r="B46" s="6">
        <v>2</v>
      </c>
      <c r="C46" s="6" t="b">
        <f>B46=A46</f>
        <v>1</v>
      </c>
      <c r="D46" s="22" t="str">
        <f ca="1">_xlfn.FORMULATEXT(A46)</f>
        <v>=F5:F5</v>
      </c>
    </row>
    <row r="47" spans="1:4">
      <c r="A47" s="1" cm="1">
        <f t="array" ref="A47:A48">CHOOSE(2, F5:F6, F7:F8, G5:G8)</f>
        <v>7</v>
      </c>
      <c r="B47" s="1">
        <v>7</v>
      </c>
      <c r="C47" s="1" t="b">
        <f>B47=A47</f>
        <v>1</v>
      </c>
      <c r="D47" s="17" t="str">
        <f ca="1">_xlfn.FORMULATEXT(A47)</f>
        <v>=CHOOSE(2, F5:F6, F7:F8, G5:G8)</v>
      </c>
    </row>
    <row r="48" spans="1:4">
      <c r="A48" s="1">
        <v>7</v>
      </c>
      <c r="B48" s="1">
        <v>7</v>
      </c>
      <c r="C48" s="1" t="b">
        <f>B48=A48</f>
        <v>1</v>
      </c>
      <c r="D48" s="17"/>
    </row>
    <row r="49" spans="1:4">
      <c r="A49" s="2" t="b" cm="1">
        <f t="array" ref="A49:A52">F5:F8 = {2;4;7;8}</f>
        <v>1</v>
      </c>
      <c r="B49" s="2" t="b">
        <v>1</v>
      </c>
      <c r="C49" s="2" t="b">
        <f>A49=B49</f>
        <v>1</v>
      </c>
      <c r="D49" s="18" t="str">
        <f ca="1">_xlfn.FORMULATEXT(A49)</f>
        <v>=F5:F8 = {2;4;7;8}</v>
      </c>
    </row>
    <row r="50" spans="1:4">
      <c r="A50" s="2" t="b">
        <v>1</v>
      </c>
      <c r="B50" s="2" t="b">
        <v>1</v>
      </c>
      <c r="C50" s="2" t="b">
        <f t="shared" ref="C50:C52" si="6">A50=B50</f>
        <v>1</v>
      </c>
      <c r="D50" s="18"/>
    </row>
    <row r="51" spans="1:4">
      <c r="A51" s="2" t="b">
        <v>1</v>
      </c>
      <c r="B51" s="2" t="b">
        <v>1</v>
      </c>
      <c r="C51" s="2" t="b">
        <f t="shared" si="6"/>
        <v>1</v>
      </c>
      <c r="D51" s="18"/>
    </row>
    <row r="52" spans="1:4">
      <c r="A52" s="2" t="b">
        <v>0</v>
      </c>
      <c r="B52" s="2" t="b">
        <v>0</v>
      </c>
      <c r="C52" s="2" t="b">
        <f t="shared" si="6"/>
        <v>1</v>
      </c>
      <c r="D52" s="18"/>
    </row>
    <row r="53" spans="1:4">
      <c r="A53" s="3" t="str" cm="1">
        <f t="array" ref="A53:A56">F5:F8 &amp; {"x";3;TRUE;8.4}  &amp; "!"</f>
        <v>2x!</v>
      </c>
      <c r="B53" s="3" t="s">
        <v>9</v>
      </c>
      <c r="C53" s="3" t="b">
        <f>A53=B53</f>
        <v>1</v>
      </c>
      <c r="D53" s="19" t="str">
        <f ca="1">_xlfn.FORMULATEXT(A53)</f>
        <v>=F5:F8 &amp; {"x";3;TRUE;8.4}  &amp; "!"</v>
      </c>
    </row>
    <row r="54" spans="1:4">
      <c r="A54" s="3" t="str">
        <v>43!</v>
      </c>
      <c r="B54" s="3" t="s">
        <v>10</v>
      </c>
      <c r="C54" s="3" t="b">
        <f t="shared" ref="C54:C56" si="7">A54=B54</f>
        <v>1</v>
      </c>
      <c r="D54" s="19"/>
    </row>
    <row r="55" spans="1:4">
      <c r="A55" s="3" t="str">
        <v>7TRUE!</v>
      </c>
      <c r="B55" s="3" t="s">
        <v>11</v>
      </c>
      <c r="C55" s="3" t="b">
        <f t="shared" si="7"/>
        <v>1</v>
      </c>
      <c r="D55" s="19"/>
    </row>
    <row r="56" spans="1:4">
      <c r="A56" s="3" t="str">
        <v>78.4!</v>
      </c>
      <c r="B56" s="3" t="s">
        <v>12</v>
      </c>
      <c r="C56" s="3" t="b">
        <f t="shared" si="7"/>
        <v>1</v>
      </c>
      <c r="D56" s="19"/>
    </row>
    <row r="57" spans="1:4">
      <c r="A57" s="4" cm="1">
        <f t="array" aca="1" ref="A57:A60" ca="1">F5:OFFSET(F5,3,0)</f>
        <v>2</v>
      </c>
      <c r="B57" s="4">
        <v>2</v>
      </c>
      <c r="C57" s="4" t="b">
        <f ca="1">B57=A57</f>
        <v>1</v>
      </c>
      <c r="D57" s="20" t="str">
        <f ca="1">_xlfn.FORMULATEXT(A57)</f>
        <v>=F5:OFFSET(F5,3,0)</v>
      </c>
    </row>
    <row r="58" spans="1:4">
      <c r="A58" s="4">
        <f ca="1"/>
        <v>4</v>
      </c>
      <c r="B58" s="4">
        <v>4</v>
      </c>
      <c r="C58" s="4" t="b">
        <f ca="1">B58=A58</f>
        <v>1</v>
      </c>
      <c r="D58" s="20"/>
    </row>
    <row r="59" spans="1:4">
      <c r="A59" s="4">
        <f ca="1"/>
        <v>7</v>
      </c>
      <c r="B59" s="4">
        <v>7</v>
      </c>
      <c r="C59" s="4" t="b">
        <f ca="1">B59=A59</f>
        <v>1</v>
      </c>
      <c r="D59" s="20"/>
    </row>
    <row r="60" spans="1:4">
      <c r="A60" s="4">
        <f ca="1"/>
        <v>7</v>
      </c>
      <c r="B60" s="4">
        <v>7</v>
      </c>
      <c r="C60" s="4" t="b">
        <f ca="1">B60=A60</f>
        <v>1</v>
      </c>
      <c r="D60" s="20"/>
    </row>
    <row r="61" spans="1:4">
      <c r="A61" s="5" cm="1">
        <f t="array" ref="A61:A64">_xlfn.SEQUENCE(4,1)</f>
        <v>1</v>
      </c>
      <c r="B61" s="5">
        <v>1</v>
      </c>
      <c r="C61" s="5" t="b">
        <f>B61=A61</f>
        <v>1</v>
      </c>
      <c r="D61" s="21" t="str">
        <f ca="1">_xlfn.FORMULATEXT(A61)</f>
        <v>=SEQUENCE(4,1)</v>
      </c>
    </row>
    <row r="62" spans="1:4">
      <c r="A62" s="5">
        <v>2</v>
      </c>
      <c r="B62" s="5">
        <v>2</v>
      </c>
      <c r="C62" s="5" t="b">
        <f>B62=A62</f>
        <v>1</v>
      </c>
      <c r="D62" s="21"/>
    </row>
    <row r="63" spans="1:4">
      <c r="A63" s="5">
        <v>3</v>
      </c>
      <c r="B63" s="5">
        <v>3</v>
      </c>
      <c r="C63" s="5" t="b">
        <f>B63=A63</f>
        <v>1</v>
      </c>
      <c r="D63" s="21"/>
    </row>
    <row r="64" spans="1:4">
      <c r="A64" s="5">
        <v>4</v>
      </c>
      <c r="B64" s="5">
        <v>4</v>
      </c>
      <c r="C64" s="5" t="b">
        <f>B64=A64</f>
        <v>1</v>
      </c>
      <c r="D64" s="21"/>
    </row>
    <row r="65" spans="1:7">
      <c r="A65" s="6">
        <f>F65</f>
        <v>14</v>
      </c>
      <c r="B65" s="6">
        <v>14</v>
      </c>
      <c r="C65" s="6" t="b">
        <f>B65=A65</f>
        <v>1</v>
      </c>
      <c r="D65" s="22" t="str">
        <f ca="1">_xlfn.FORMULATEXT(F65)</f>
        <v>=MMULT(F5:F6,F7:G7)</v>
      </c>
      <c r="F65" s="16" cm="1">
        <f t="array" ref="F65:G66">MMULT(F5:F6,F7:G7)</f>
        <v>14</v>
      </c>
      <c r="G65">
        <v>12</v>
      </c>
    </row>
    <row r="66" spans="1:7">
      <c r="A66" s="6">
        <f>F66</f>
        <v>28</v>
      </c>
      <c r="B66" s="6">
        <v>28</v>
      </c>
      <c r="C66" s="6" t="b">
        <f>B66=A66</f>
        <v>1</v>
      </c>
      <c r="D66" s="22"/>
      <c r="F66">
        <v>28</v>
      </c>
      <c r="G66">
        <v>24</v>
      </c>
    </row>
    <row r="67" spans="1:7">
      <c r="A67" s="6">
        <f>G65</f>
        <v>12</v>
      </c>
      <c r="B67" s="6">
        <v>12</v>
      </c>
      <c r="C67" s="6" t="b">
        <f>B67=A67</f>
        <v>1</v>
      </c>
      <c r="D67" s="22"/>
    </row>
    <row r="68" spans="1:7">
      <c r="A68" s="6">
        <f>G66</f>
        <v>24</v>
      </c>
      <c r="B68" s="6">
        <v>24</v>
      </c>
      <c r="C68" s="6" t="b">
        <f>B68=A68</f>
        <v>1</v>
      </c>
      <c r="D68" s="22"/>
    </row>
    <row r="69" spans="1:7">
      <c r="A69" s="8">
        <f>F69</f>
        <v>2</v>
      </c>
      <c r="B69" s="8">
        <v>2</v>
      </c>
      <c r="C69" s="8" t="b">
        <f t="shared" ref="C69:C74" si="8">B69=A69</f>
        <v>1</v>
      </c>
      <c r="D69" s="27" t="str">
        <f ca="1">_xlfn.FORMULATEXT(F69)</f>
        <v>=F5:G7</v>
      </c>
      <c r="F69" cm="1">
        <f t="array" ref="F69:G71">F5:G7</f>
        <v>2</v>
      </c>
      <c r="G69">
        <v>4</v>
      </c>
    </row>
    <row r="70" spans="1:7">
      <c r="A70" s="8">
        <f>F70</f>
        <v>4</v>
      </c>
      <c r="B70" s="8">
        <v>4</v>
      </c>
      <c r="C70" s="8" t="b">
        <f t="shared" si="8"/>
        <v>1</v>
      </c>
      <c r="D70" s="27"/>
      <c r="F70">
        <v>4</v>
      </c>
      <c r="G70">
        <v>2</v>
      </c>
    </row>
    <row r="71" spans="1:7">
      <c r="A71" s="8">
        <f>F71</f>
        <v>7</v>
      </c>
      <c r="B71" s="8">
        <v>7</v>
      </c>
      <c r="C71" s="8" t="b">
        <f t="shared" si="8"/>
        <v>1</v>
      </c>
      <c r="D71" s="27"/>
      <c r="F71">
        <v>7</v>
      </c>
      <c r="G71">
        <v>6</v>
      </c>
    </row>
    <row r="72" spans="1:7">
      <c r="A72" s="8">
        <f>G69</f>
        <v>4</v>
      </c>
      <c r="B72" s="8">
        <v>4</v>
      </c>
      <c r="C72" s="8" t="b">
        <f t="shared" si="8"/>
        <v>1</v>
      </c>
      <c r="D72" s="27"/>
    </row>
    <row r="73" spans="1:7">
      <c r="A73" s="8">
        <f>G70</f>
        <v>2</v>
      </c>
      <c r="B73" s="8">
        <v>2</v>
      </c>
      <c r="C73" s="8" t="b">
        <f t="shared" si="8"/>
        <v>1</v>
      </c>
      <c r="D73" s="27"/>
    </row>
    <row r="74" spans="1:7">
      <c r="A74" s="8">
        <f>G71</f>
        <v>6</v>
      </c>
      <c r="B74" s="8">
        <v>6</v>
      </c>
      <c r="C74" s="8" t="b">
        <f t="shared" si="8"/>
        <v>1</v>
      </c>
      <c r="D74" s="27"/>
    </row>
    <row r="75" spans="1:7">
      <c r="A75" s="7" cm="1">
        <f t="array" ref="A75:A77">_xlfn.LET(_xlpm.x, F5:F7, _xlpm.x*2)</f>
        <v>4</v>
      </c>
      <c r="B75" s="7">
        <v>4</v>
      </c>
      <c r="C75" s="7" t="b">
        <f>B75=A75</f>
        <v>1</v>
      </c>
      <c r="D75" s="23" t="str">
        <f ca="1">_xlfn.FORMULATEXT(A75)</f>
        <v>=LET(x, F5:F7, x*2)</v>
      </c>
    </row>
    <row r="76" spans="1:7">
      <c r="A76" s="7">
        <v>8</v>
      </c>
      <c r="B76" s="7">
        <v>8</v>
      </c>
      <c r="C76" s="7" t="b">
        <f>B76=A76</f>
        <v>1</v>
      </c>
      <c r="D76" s="23"/>
    </row>
    <row r="77" spans="1:7">
      <c r="A77" s="7">
        <v>14</v>
      </c>
      <c r="B77" s="7">
        <v>14</v>
      </c>
      <c r="C77" s="7" t="b">
        <f>B77=A77</f>
        <v>1</v>
      </c>
      <c r="D77" s="23"/>
    </row>
    <row r="78" spans="1:7">
      <c r="A78" s="10" t="b">
        <f>_xlfn.ISFORMULA(G78)</f>
        <v>1</v>
      </c>
      <c r="B78" s="10" t="b">
        <v>1</v>
      </c>
      <c r="C78" s="10" t="b">
        <f>B78=A78</f>
        <v>1</v>
      </c>
      <c r="D78" s="24" t="str">
        <f ca="1">_xlfn.FORMULATEXT(A78)</f>
        <v>=ISFORMULA(G78)</v>
      </c>
      <c r="F78">
        <v>1</v>
      </c>
      <c r="G78" cm="1">
        <f t="array" ref="G78:G80">F78:F80</f>
        <v>1</v>
      </c>
    </row>
    <row r="79" spans="1:7">
      <c r="A79" s="11" t="b">
        <f>_xlfn.ISFORMULA(G79)</f>
        <v>0</v>
      </c>
      <c r="B79" s="11" t="b">
        <v>0</v>
      </c>
      <c r="C79" s="11" t="b">
        <f>B79=A79</f>
        <v>1</v>
      </c>
      <c r="D79" s="25" t="str">
        <f ca="1">_xlfn.FORMULATEXT(A79)</f>
        <v>=ISFORMULA(G79)</v>
      </c>
      <c r="F79">
        <v>2</v>
      </c>
      <c r="G79">
        <v>2</v>
      </c>
    </row>
    <row r="80" spans="1:7">
      <c r="A80" s="12" t="b">
        <f>_xlfn.ISFORMULA(G80)</f>
        <v>0</v>
      </c>
      <c r="B80" s="12" t="b">
        <v>0</v>
      </c>
      <c r="C80" s="12" t="b">
        <f>B80=A80</f>
        <v>1</v>
      </c>
      <c r="D80" s="26" t="str">
        <f ca="1">_xlfn.FORMULATEXT(A80)</f>
        <v>=ISFORMULA(G80)</v>
      </c>
      <c r="F80">
        <v>3</v>
      </c>
      <c r="G80">
        <v>3</v>
      </c>
    </row>
    <row r="81" spans="1:7">
      <c r="A81" s="13" t="b">
        <f>_xlfn.ISFORMULA(G81)</f>
        <v>1</v>
      </c>
      <c r="B81" s="13" t="b">
        <v>1</v>
      </c>
      <c r="C81" s="13" t="b">
        <f>B81=A81</f>
        <v>1</v>
      </c>
      <c r="D81" s="29" t="str">
        <f ca="1">_xlfn.FORMULATEXT(A81)</f>
        <v>=ISFORMULA(G81)</v>
      </c>
      <c r="F81">
        <f>F78*4</f>
        <v>4</v>
      </c>
      <c r="G81" cm="1">
        <f t="array" ref="G81:G83">F81:F83</f>
        <v>4</v>
      </c>
    </row>
    <row r="82" spans="1:7">
      <c r="A82" s="1" t="b">
        <f>_xlfn.ISFORMULA(G82)</f>
        <v>0</v>
      </c>
      <c r="B82" s="1" t="b">
        <v>0</v>
      </c>
      <c r="C82" s="1" t="b">
        <f>B82=A82</f>
        <v>1</v>
      </c>
      <c r="D82" s="17" t="str">
        <f ca="1">_xlfn.FORMULATEXT(A82)</f>
        <v>=ISFORMULA(G82)</v>
      </c>
      <c r="F82">
        <f>F79*4</f>
        <v>8</v>
      </c>
      <c r="G82">
        <v>8</v>
      </c>
    </row>
    <row r="83" spans="1:7">
      <c r="A83" s="2" t="b">
        <f>_xlfn.ISFORMULA(G83)</f>
        <v>0</v>
      </c>
      <c r="B83" s="2" t="b">
        <v>0</v>
      </c>
      <c r="C83" s="2" t="b">
        <f>B83=A83</f>
        <v>1</v>
      </c>
      <c r="D83" s="18" t="str">
        <f ca="1">_xlfn.FORMULATEXT(A83)</f>
        <v>=ISFORMULA(G83)</v>
      </c>
      <c r="F83">
        <f>F80*4</f>
        <v>12</v>
      </c>
      <c r="G83">
        <v>12</v>
      </c>
    </row>
  </sheetData>
  <mergeCells count="1">
    <mergeCell ref="A1:G1"/>
  </mergeCells>
  <conditionalFormatting sqref="A3">
    <cfRule type="cellIs" dxfId="2" priority="1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C1B0-4443-45F0-996B-0745DCA81520}">
  <dimension ref="A1:L80"/>
  <sheetViews>
    <sheetView tabSelected="1" workbookViewId="0">
      <selection activeCell="A30" sqref="A30"/>
    </sheetView>
  </sheetViews>
  <sheetFormatPr defaultRowHeight="15"/>
  <cols>
    <col min="1" max="1" width="10.42578125" customWidth="1"/>
    <col min="4" max="4" width="57.7109375" bestFit="1" customWidth="1"/>
    <col min="5" max="5" width="9.5703125" bestFit="1" customWidth="1"/>
    <col min="6" max="8" width="8.42578125" bestFit="1" customWidth="1"/>
    <col min="9" max="9" width="30" bestFit="1" customWidth="1"/>
    <col min="10" max="10" width="38.28515625" bestFit="1" customWidth="1"/>
    <col min="11" max="11" width="36.85546875" bestFit="1" customWidth="1"/>
    <col min="12" max="12" width="31.85546875" bestFit="1" customWidth="1"/>
    <col min="13" max="13" width="22" bestFit="1" customWidth="1"/>
  </cols>
  <sheetData>
    <row r="1" spans="1:10" ht="26.25">
      <c r="A1" s="46" t="s">
        <v>13</v>
      </c>
      <c r="B1" s="46"/>
      <c r="C1" s="46"/>
      <c r="D1" s="46"/>
      <c r="E1" s="46"/>
      <c r="F1" s="46"/>
    </row>
    <row r="2" spans="1:10">
      <c r="A2" s="9" t="s">
        <v>1</v>
      </c>
      <c r="C2" s="9"/>
    </row>
    <row r="3" spans="1:10">
      <c r="A3" s="14" t="b">
        <f>AND(C5:C204)</f>
        <v>1</v>
      </c>
    </row>
    <row r="4" spans="1:10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14</v>
      </c>
    </row>
    <row r="5" spans="1:10">
      <c r="A5" s="3">
        <f>ERROR.TYPE(F6)</f>
        <v>3</v>
      </c>
      <c r="B5" s="3">
        <v>3</v>
      </c>
      <c r="C5" s="3" t="b">
        <f>A5=B5</f>
        <v>1</v>
      </c>
      <c r="D5" s="19" t="str">
        <f ca="1">_xlfn.FORMULATEXT(F6)</f>
        <v>=@$G$7:$G$9</v>
      </c>
    </row>
    <row r="6" spans="1:10">
      <c r="A6" s="3">
        <f>F7</f>
        <v>4</v>
      </c>
      <c r="B6" s="3">
        <v>4</v>
      </c>
      <c r="C6" s="3" t="b">
        <f>A6=B6</f>
        <v>1</v>
      </c>
      <c r="D6" s="19" t="str">
        <f t="shared" ref="D6:D9" ca="1" si="0">_xlfn.FORMULATEXT(F7)</f>
        <v>=@$G$7:$G$9</v>
      </c>
      <c r="F6" s="3" t="e">
        <f>$G$7:$G$9</f>
        <v>#VALUE!</v>
      </c>
      <c r="G6" s="4" t="e">
        <f>$G$7:$G$9</f>
        <v>#VALUE!</v>
      </c>
      <c r="H6" s="5" t="e">
        <f>$G$7:$G$9</f>
        <v>#VALUE!</v>
      </c>
      <c r="I6" s="6" t="str">
        <f ca="1">_xlfn.FORMULATEXT(I7)</f>
        <v>=@($G$7:$G$9) + @($G$7:$G$9)</v>
      </c>
      <c r="J6" s="5" t="str">
        <f ca="1">_xlfn.FORMULATEXT(J7)</f>
        <v>=@CHOOSE(1, $G$7:$G$9, $G$7:$G$9 * 2)</v>
      </c>
    </row>
    <row r="7" spans="1:10">
      <c r="A7" s="3">
        <f>F8</f>
        <v>7</v>
      </c>
      <c r="B7" s="3">
        <v>7</v>
      </c>
      <c r="C7" s="3" t="b">
        <f t="shared" ref="C7:C8" si="1">A7=B7</f>
        <v>1</v>
      </c>
      <c r="D7" s="19" t="str">
        <f t="shared" ca="1" si="0"/>
        <v>=@$G$7:$G$9</v>
      </c>
      <c r="F7" s="3">
        <f>$G$7:$G$9</f>
        <v>4</v>
      </c>
      <c r="G7" s="4">
        <v>4</v>
      </c>
      <c r="H7" s="5">
        <f>$G$7:$G$9</f>
        <v>4</v>
      </c>
      <c r="I7" s="6">
        <f>_xlfn.SINGLE(($G$7:$G$9)) + _xlfn.SINGLE(($G$7:$G$9))</f>
        <v>8</v>
      </c>
      <c r="J7" s="5" cm="1">
        <f t="array" ref="J7">_xlfn.SINGLE(CHOOSE(1, $G$7:$G$9, $G$7:$G$9 * 2))</f>
        <v>4</v>
      </c>
    </row>
    <row r="8" spans="1:10">
      <c r="A8" s="3">
        <f>F9</f>
        <v>8</v>
      </c>
      <c r="B8" s="3">
        <v>8</v>
      </c>
      <c r="C8" s="3" t="b">
        <f t="shared" si="1"/>
        <v>1</v>
      </c>
      <c r="D8" s="19" t="str">
        <f t="shared" ca="1" si="0"/>
        <v>=@$G$7:$G$9</v>
      </c>
      <c r="F8" s="3">
        <f>$G$7:$G$9</f>
        <v>7</v>
      </c>
      <c r="G8" s="4">
        <v>7</v>
      </c>
      <c r="H8" s="5">
        <f>$G$7:$G$9</f>
        <v>7</v>
      </c>
      <c r="I8" s="6">
        <f>_xlfn.SINGLE(($G$7:$G$9)) + _xlfn.SINGLE(($G$7:$G$9))</f>
        <v>14</v>
      </c>
      <c r="J8" s="5" cm="1">
        <f t="array" ref="J8">_xlfn.SINGLE(CHOOSE(1, $G$7:$G$9, $G$7:$G$9 * 2))</f>
        <v>7</v>
      </c>
    </row>
    <row r="9" spans="1:10">
      <c r="A9" s="3">
        <f>ERROR.TYPE(F10)</f>
        <v>3</v>
      </c>
      <c r="B9" s="3">
        <v>3</v>
      </c>
      <c r="C9" s="3" t="b">
        <f>A9=B9</f>
        <v>1</v>
      </c>
      <c r="D9" s="19" t="str">
        <f t="shared" ca="1" si="0"/>
        <v>=@$G$7:$G$9</v>
      </c>
      <c r="F9" s="3">
        <f>$G$7:$G$9</f>
        <v>8</v>
      </c>
      <c r="G9" s="4">
        <v>8</v>
      </c>
      <c r="H9" s="5">
        <f>$G$7:$G$9</f>
        <v>8</v>
      </c>
      <c r="I9" s="6">
        <f>_xlfn.SINGLE(($G$7:$G$9)) + _xlfn.SINGLE(($G$7:$G$9))</f>
        <v>16</v>
      </c>
      <c r="J9" s="5" cm="1">
        <f t="array" ref="J9">_xlfn.SINGLE(CHOOSE(1, $G$7:$G$9, $G$7:$G$9 * 2))</f>
        <v>8</v>
      </c>
    </row>
    <row r="10" spans="1:10">
      <c r="A10" s="4">
        <f>ERROR.TYPE(G6)</f>
        <v>3</v>
      </c>
      <c r="B10" s="4">
        <v>3</v>
      </c>
      <c r="C10" s="4" t="b">
        <f t="shared" ref="C10:C35" si="2">A10=B10</f>
        <v>1</v>
      </c>
      <c r="D10" s="20" t="str">
        <f ca="1">_xlfn.FORMULATEXT(G6)</f>
        <v>=@$G$7:$G$9</v>
      </c>
      <c r="F10" s="3" t="e">
        <f>$G$7:$G$9</f>
        <v>#VALUE!</v>
      </c>
      <c r="G10" s="4" t="e">
        <f>$G$7:$G$9</f>
        <v>#VALUE!</v>
      </c>
      <c r="H10" s="5" t="e">
        <f>$G$7:$G$9</f>
        <v>#VALUE!</v>
      </c>
      <c r="I10" s="6" t="e">
        <f>_xlfn.SINGLE(($G$7:$G$9)) + _xlfn.SINGLE(($G$7:$G$9))</f>
        <v>#VALUE!</v>
      </c>
      <c r="J10" s="5" t="e" cm="1">
        <f t="array" ref="J10">_xlfn.SINGLE(CHOOSE(1, $G$7:$G$9, $G$7:$G$9 * 2))</f>
        <v>#VALUE!</v>
      </c>
    </row>
    <row r="11" spans="1:10">
      <c r="A11" s="4">
        <f>G7</f>
        <v>4</v>
      </c>
      <c r="B11" s="4">
        <v>4</v>
      </c>
      <c r="C11" s="4" t="b">
        <f t="shared" si="2"/>
        <v>1</v>
      </c>
      <c r="D11" s="20"/>
    </row>
    <row r="12" spans="1:10">
      <c r="A12" s="4">
        <f>G8</f>
        <v>7</v>
      </c>
      <c r="B12" s="4">
        <v>7</v>
      </c>
      <c r="C12" s="4" t="b">
        <f t="shared" si="2"/>
        <v>1</v>
      </c>
      <c r="D12" s="20"/>
    </row>
    <row r="13" spans="1:10">
      <c r="A13" s="4">
        <f>G9</f>
        <v>8</v>
      </c>
      <c r="B13" s="4">
        <v>8</v>
      </c>
      <c r="C13" s="4" t="b">
        <f t="shared" si="2"/>
        <v>1</v>
      </c>
      <c r="D13" s="20"/>
    </row>
    <row r="14" spans="1:10">
      <c r="A14" s="4">
        <f>ERROR.TYPE(G10)</f>
        <v>3</v>
      </c>
      <c r="B14" s="4">
        <v>3</v>
      </c>
      <c r="C14" s="4" t="b">
        <f t="shared" si="2"/>
        <v>1</v>
      </c>
      <c r="D14" s="20" t="str">
        <f t="shared" ref="D11:D14" ca="1" si="3">_xlfn.FORMULATEXT(G10)</f>
        <v>=@$G$7:$G$9</v>
      </c>
    </row>
    <row r="15" spans="1:10">
      <c r="A15" s="5">
        <f>ERROR.TYPE(H6)</f>
        <v>3</v>
      </c>
      <c r="B15" s="5">
        <v>3</v>
      </c>
      <c r="C15" s="5" t="b">
        <f t="shared" si="2"/>
        <v>1</v>
      </c>
      <c r="D15" s="21" t="str">
        <f ca="1">_xlfn.FORMULATEXT(H6)</f>
        <v>=@$G$7:$G$9</v>
      </c>
    </row>
    <row r="16" spans="1:10">
      <c r="A16" s="5">
        <f>H7</f>
        <v>4</v>
      </c>
      <c r="B16" s="5">
        <v>4</v>
      </c>
      <c r="C16" s="5" t="b">
        <f t="shared" si="2"/>
        <v>1</v>
      </c>
      <c r="D16" s="21" t="str">
        <f t="shared" ref="D16:D19" ca="1" si="4">_xlfn.FORMULATEXT(H7)</f>
        <v>=@$G$7:$G$9</v>
      </c>
    </row>
    <row r="17" spans="1:4">
      <c r="A17" s="5">
        <f>H8</f>
        <v>7</v>
      </c>
      <c r="B17" s="5">
        <v>7</v>
      </c>
      <c r="C17" s="5" t="b">
        <f t="shared" si="2"/>
        <v>1</v>
      </c>
      <c r="D17" s="21" t="str">
        <f t="shared" ca="1" si="4"/>
        <v>=@$G$7:$G$9</v>
      </c>
    </row>
    <row r="18" spans="1:4">
      <c r="A18" s="5">
        <f>H9</f>
        <v>8</v>
      </c>
      <c r="B18" s="5">
        <v>8</v>
      </c>
      <c r="C18" s="5" t="b">
        <f t="shared" si="2"/>
        <v>1</v>
      </c>
      <c r="D18" s="21" t="str">
        <f t="shared" ca="1" si="4"/>
        <v>=@$G$7:$G$9</v>
      </c>
    </row>
    <row r="19" spans="1:4">
      <c r="A19" s="5">
        <f>ERROR.TYPE(H10)</f>
        <v>3</v>
      </c>
      <c r="B19" s="5">
        <v>3</v>
      </c>
      <c r="C19" s="5" t="b">
        <f t="shared" si="2"/>
        <v>1</v>
      </c>
      <c r="D19" s="21" t="str">
        <f t="shared" ca="1" si="4"/>
        <v>=@$G$7:$G$9</v>
      </c>
    </row>
    <row r="20" spans="1:4">
      <c r="A20" s="6">
        <f>$I$7</f>
        <v>8</v>
      </c>
      <c r="B20" s="6">
        <v>8</v>
      </c>
      <c r="C20" s="6" t="b">
        <f t="shared" si="2"/>
        <v>1</v>
      </c>
      <c r="D20" s="49" t="str">
        <f ca="1">$I$6</f>
        <v>=@($G$7:$G$9) + @($G$7:$G$9)</v>
      </c>
    </row>
    <row r="21" spans="1:4">
      <c r="A21" s="6">
        <f>$I$8</f>
        <v>14</v>
      </c>
      <c r="B21" s="6">
        <v>14</v>
      </c>
      <c r="C21" s="6" t="b">
        <f t="shared" si="2"/>
        <v>1</v>
      </c>
      <c r="D21" s="49"/>
    </row>
    <row r="22" spans="1:4">
      <c r="A22" s="6">
        <f>$I$9</f>
        <v>16</v>
      </c>
      <c r="B22" s="6">
        <v>16</v>
      </c>
      <c r="C22" s="6" t="b">
        <f t="shared" si="2"/>
        <v>1</v>
      </c>
      <c r="D22" s="49"/>
    </row>
    <row r="23" spans="1:4">
      <c r="A23" s="6">
        <f>ERROR.TYPE(I10)</f>
        <v>3</v>
      </c>
      <c r="B23" s="6">
        <v>3</v>
      </c>
      <c r="C23" s="6" t="b">
        <f t="shared" si="2"/>
        <v>1</v>
      </c>
      <c r="D23" s="49"/>
    </row>
    <row r="24" spans="1:4">
      <c r="A24" s="5" t="b">
        <f>ISREF(I7)</f>
        <v>1</v>
      </c>
      <c r="B24" s="5" t="b">
        <v>1</v>
      </c>
      <c r="C24" s="5" t="b">
        <f t="shared" si="2"/>
        <v>1</v>
      </c>
      <c r="D24" s="21" t="str">
        <f ca="1">_xlfn.FORMULATEXT(A24)</f>
        <v>=ISREF(I7)</v>
      </c>
    </row>
    <row r="25" spans="1:4">
      <c r="A25" s="6" t="b">
        <f>ISREF(I8)</f>
        <v>1</v>
      </c>
      <c r="B25" s="6" t="b">
        <v>1</v>
      </c>
      <c r="C25" s="6" t="b">
        <f t="shared" si="2"/>
        <v>1</v>
      </c>
      <c r="D25" s="22" t="str">
        <f ca="1">_xlfn.FORMULATEXT(A25)</f>
        <v>=ISREF(I8)</v>
      </c>
    </row>
    <row r="26" spans="1:4">
      <c r="A26" s="1" t="b">
        <f>ISREF(I9)</f>
        <v>1</v>
      </c>
      <c r="B26" s="1" t="b">
        <v>1</v>
      </c>
      <c r="C26" s="1" t="b">
        <f t="shared" si="2"/>
        <v>1</v>
      </c>
      <c r="D26" s="17" t="str">
        <f ca="1">_xlfn.FORMULATEXT(A26)</f>
        <v>=ISREF(I9)</v>
      </c>
    </row>
    <row r="27" spans="1:4">
      <c r="A27" s="2" t="b">
        <f>ISREF(I10)</f>
        <v>1</v>
      </c>
      <c r="B27" s="2" t="b">
        <v>1</v>
      </c>
      <c r="C27" s="2" t="b">
        <f t="shared" si="2"/>
        <v>1</v>
      </c>
      <c r="D27" s="18" t="str">
        <f ca="1">_xlfn.FORMULATEXT(A27)</f>
        <v>=ISREF(I10)</v>
      </c>
    </row>
    <row r="28" spans="1:4">
      <c r="A28" s="8" cm="1">
        <f t="array" ref="A28">_xlfn.SINGLE((G7:G9 + 0))</f>
        <v>4</v>
      </c>
      <c r="B28" s="8">
        <v>4</v>
      </c>
      <c r="C28" s="8" t="b">
        <f t="shared" si="2"/>
        <v>1</v>
      </c>
      <c r="D28" s="27" t="str">
        <f ca="1">_xlfn.FORMULATEXT(A28)</f>
        <v>=@(G7:G9 + 0)</v>
      </c>
    </row>
    <row r="29" spans="1:4">
      <c r="A29" s="7" cm="1">
        <f t="array" ref="A29">_xlfn.SINGLE((G7:G9*1))</f>
        <v>4</v>
      </c>
      <c r="B29" s="7">
        <v>4</v>
      </c>
      <c r="C29" s="7" t="b">
        <f t="shared" si="2"/>
        <v>1</v>
      </c>
      <c r="D29" s="23" t="str">
        <f ca="1">_xlfn.FORMULATEXT(A29)</f>
        <v>=@(G7:G9*1)</v>
      </c>
    </row>
    <row r="30" spans="1:4">
      <c r="A30" s="10" cm="1">
        <f t="array" ref="A30">_xlfn.SINGLE(TRANSPOSE(TRANSPOSE(G7:G9)))</f>
        <v>4</v>
      </c>
      <c r="B30" s="10">
        <v>4</v>
      </c>
      <c r="C30" s="10" t="b">
        <f t="shared" si="2"/>
        <v>1</v>
      </c>
      <c r="D30" s="24" t="str">
        <f ca="1">_xlfn.FORMULATEXT(A30)</f>
        <v>=@TRANSPOSE(TRANSPOSE(G7:G9))</v>
      </c>
    </row>
    <row r="31" spans="1:4">
      <c r="A31" s="11">
        <f>_xlfn.UNIQUE(G7:G9)</f>
        <v>4</v>
      </c>
      <c r="B31" s="11">
        <v>4</v>
      </c>
      <c r="C31" s="11" t="b">
        <f t="shared" si="2"/>
        <v>1</v>
      </c>
      <c r="D31" s="25" t="str">
        <f ca="1">_xlfn.FORMULATEXT(A31)</f>
        <v>=@UNIQUE(G7:G9)</v>
      </c>
    </row>
    <row r="32" spans="1:4">
      <c r="A32" s="12" cm="1">
        <f t="array" ref="A32">_xlfn.SINGLE(IF(G7&gt;5, G7:G9 * 3, G7:G9 * 2))</f>
        <v>8</v>
      </c>
      <c r="B32" s="12">
        <v>8</v>
      </c>
      <c r="C32" s="12" t="b">
        <f t="shared" si="2"/>
        <v>1</v>
      </c>
      <c r="D32" s="26" t="str">
        <f ca="1">_xlfn.FORMULATEXT(A32)</f>
        <v>=@IF(G7&gt;5, G7:G9 * 3, G7:G9 * 2)</v>
      </c>
    </row>
    <row r="33" spans="1:8">
      <c r="A33" s="13" cm="1">
        <f t="array" ref="A33">_xlfn.SINGLE((G7:G9+0)) + _xlfn.SINGLE((G7:G9+0))</f>
        <v>8</v>
      </c>
      <c r="B33" s="13">
        <v>8</v>
      </c>
      <c r="C33" s="13" t="b">
        <f t="shared" si="2"/>
        <v>1</v>
      </c>
      <c r="D33" s="29" t="str">
        <f ca="1">_xlfn.FORMULATEXT(A33)</f>
        <v>=@(G7:G9+0) + @(G7:G9+0)</v>
      </c>
    </row>
    <row r="34" spans="1:8">
      <c r="A34" s="1" cm="1">
        <f t="array" ref="A34">_xlfn.SINGLE(CHOOSE(2, G7:G9 * 2, G7:G9 * 3, G7:G9 * 4))</f>
        <v>12</v>
      </c>
      <c r="B34" s="1">
        <v>12</v>
      </c>
      <c r="C34" s="1" t="b">
        <f t="shared" si="2"/>
        <v>1</v>
      </c>
      <c r="D34" s="17" t="str">
        <f ca="1">_xlfn.FORMULATEXT(A34)</f>
        <v>=@CHOOSE(2, G7:G9 * 2, G7:G9 * 3, G7:G9 * 4)</v>
      </c>
    </row>
    <row r="35" spans="1:8">
      <c r="A35" s="5">
        <f>$J$7</f>
        <v>4</v>
      </c>
      <c r="B35" s="5">
        <v>4</v>
      </c>
      <c r="C35" s="5" t="b">
        <f t="shared" si="2"/>
        <v>1</v>
      </c>
      <c r="D35" s="48" t="str">
        <f ca="1">J6</f>
        <v>=@CHOOSE(1, $G$7:$G$9, $G$7:$G$9 * 2)</v>
      </c>
    </row>
    <row r="36" spans="1:8">
      <c r="A36" s="5">
        <f>$J$8</f>
        <v>7</v>
      </c>
      <c r="B36" s="5">
        <v>7</v>
      </c>
      <c r="C36" s="5" t="b">
        <f t="shared" ref="C36:C80" si="5">A36=B36</f>
        <v>1</v>
      </c>
      <c r="D36" s="48"/>
    </row>
    <row r="37" spans="1:8">
      <c r="A37" s="5">
        <f>$J$9</f>
        <v>8</v>
      </c>
      <c r="B37" s="5">
        <v>8</v>
      </c>
      <c r="C37" s="5" t="b">
        <f t="shared" si="5"/>
        <v>1</v>
      </c>
      <c r="D37" s="48"/>
    </row>
    <row r="38" spans="1:8">
      <c r="A38" s="5">
        <f>ERROR.TYPE($J$10)</f>
        <v>3</v>
      </c>
      <c r="B38" s="5">
        <v>3</v>
      </c>
      <c r="C38" s="5" t="b">
        <f t="shared" si="5"/>
        <v>1</v>
      </c>
      <c r="D38" s="48"/>
    </row>
    <row r="39" spans="1:8">
      <c r="A39" s="6">
        <f>ERROR.TYPE(F44)</f>
        <v>3</v>
      </c>
      <c r="B39" s="6">
        <v>3</v>
      </c>
      <c r="C39" s="6" t="b">
        <f t="shared" si="5"/>
        <v>1</v>
      </c>
      <c r="D39" s="22" t="str">
        <f ca="1">_xlfn.FORMULATEXT(F44)</f>
        <v>=@$G$45#</v>
      </c>
    </row>
    <row r="40" spans="1:8">
      <c r="A40" s="6">
        <f>F45</f>
        <v>4</v>
      </c>
      <c r="B40" s="6">
        <v>4</v>
      </c>
      <c r="C40" s="6" t="b">
        <f t="shared" si="5"/>
        <v>1</v>
      </c>
      <c r="D40" s="22" t="str">
        <f ca="1">_xlfn.FORMULATEXT(F45)</f>
        <v>=@$G$45#</v>
      </c>
    </row>
    <row r="41" spans="1:8">
      <c r="A41" s="6">
        <f>F46</f>
        <v>7</v>
      </c>
      <c r="B41" s="6">
        <v>7</v>
      </c>
      <c r="C41" s="6" t="b">
        <f t="shared" si="5"/>
        <v>1</v>
      </c>
      <c r="D41" s="22" t="str">
        <f ca="1">_xlfn.FORMULATEXT(F46)</f>
        <v>=@$G$45#</v>
      </c>
    </row>
    <row r="42" spans="1:8">
      <c r="A42" s="6">
        <f>F47</f>
        <v>8</v>
      </c>
      <c r="B42" s="6">
        <v>8</v>
      </c>
      <c r="C42" s="6" t="b">
        <f t="shared" si="5"/>
        <v>1</v>
      </c>
      <c r="D42" s="22" t="str">
        <f ca="1">_xlfn.FORMULATEXT(F47)</f>
        <v>=@$G$45#</v>
      </c>
    </row>
    <row r="43" spans="1:8">
      <c r="A43" s="6">
        <f>ERROR.TYPE(F48)</f>
        <v>3</v>
      </c>
      <c r="B43" s="6">
        <v>3</v>
      </c>
      <c r="C43" s="6" t="b">
        <f t="shared" si="5"/>
        <v>1</v>
      </c>
      <c r="D43" s="22" t="str">
        <f ca="1">_xlfn.FORMULATEXT(F48)</f>
        <v>=@$G$45#</v>
      </c>
      <c r="F43" s="52" t="s">
        <v>15</v>
      </c>
      <c r="G43" s="52"/>
      <c r="H43" s="52"/>
    </row>
    <row r="44" spans="1:8">
      <c r="A44" s="6">
        <f>ERROR.TYPE(G44)</f>
        <v>3</v>
      </c>
      <c r="B44" s="6">
        <v>3</v>
      </c>
      <c r="C44" s="6" t="b">
        <f t="shared" si="5"/>
        <v>1</v>
      </c>
      <c r="D44" s="22" t="str">
        <f ca="1">_xlfn.FORMULATEXT($G$44)</f>
        <v>=@$G$45#</v>
      </c>
      <c r="F44" s="6" t="e">
        <f>_xlfn.ANCHORARRAY($G$45)</f>
        <v>#VALUE!</v>
      </c>
      <c r="G44" s="6" t="e">
        <f>_xlfn.ANCHORARRAY($G$45)</f>
        <v>#VALUE!</v>
      </c>
      <c r="H44" s="6" t="e">
        <f>_xlfn.ANCHORARRAY($G$45)</f>
        <v>#VALUE!</v>
      </c>
    </row>
    <row r="45" spans="1:8">
      <c r="A45" s="6">
        <f>G45</f>
        <v>4</v>
      </c>
      <c r="B45" s="6">
        <v>4</v>
      </c>
      <c r="C45" s="6" t="b">
        <f t="shared" si="5"/>
        <v>1</v>
      </c>
      <c r="D45" s="51" t="str">
        <f ca="1">_xlfn.FORMULATEXT($G$45)</f>
        <v>=G7:G9</v>
      </c>
      <c r="F45" s="6">
        <f>_xlfn.ANCHORARRAY($G$45)</f>
        <v>4</v>
      </c>
      <c r="G45" s="6" cm="1">
        <f t="array" ref="G45:G47">G7:G9</f>
        <v>4</v>
      </c>
      <c r="H45" s="6">
        <f>_xlfn.ANCHORARRAY($G$45)</f>
        <v>4</v>
      </c>
    </row>
    <row r="46" spans="1:8">
      <c r="A46" s="6">
        <f>G46</f>
        <v>7</v>
      </c>
      <c r="B46" s="6">
        <v>7</v>
      </c>
      <c r="C46" s="6" t="b">
        <f t="shared" si="5"/>
        <v>1</v>
      </c>
      <c r="D46" s="51"/>
      <c r="F46" s="6">
        <f>_xlfn.ANCHORARRAY($G$45)</f>
        <v>7</v>
      </c>
      <c r="G46" s="6">
        <v>7</v>
      </c>
      <c r="H46" s="6">
        <f>_xlfn.ANCHORARRAY($G$45)</f>
        <v>7</v>
      </c>
    </row>
    <row r="47" spans="1:8">
      <c r="A47" s="6">
        <f>G47</f>
        <v>8</v>
      </c>
      <c r="B47" s="6">
        <v>8</v>
      </c>
      <c r="C47" s="6" t="b">
        <f t="shared" si="5"/>
        <v>1</v>
      </c>
      <c r="D47" s="51"/>
      <c r="F47" s="6">
        <f>_xlfn.ANCHORARRAY($G$45)</f>
        <v>8</v>
      </c>
      <c r="G47" s="6">
        <v>8</v>
      </c>
      <c r="H47" s="6">
        <f>_xlfn.ANCHORARRAY($G$45)</f>
        <v>8</v>
      </c>
    </row>
    <row r="48" spans="1:8">
      <c r="A48" s="6">
        <f>ERROR.TYPE(G48)</f>
        <v>3</v>
      </c>
      <c r="B48" s="6">
        <v>3</v>
      </c>
      <c r="C48" s="6" t="b">
        <f t="shared" si="5"/>
        <v>1</v>
      </c>
      <c r="D48" s="22" t="str">
        <f ca="1">_xlfn.FORMULATEXT($G$48)</f>
        <v>=@$G$45#</v>
      </c>
      <c r="F48" s="6" t="e">
        <f>_xlfn.ANCHORARRAY($G$45)</f>
        <v>#VALUE!</v>
      </c>
      <c r="G48" s="6" t="e">
        <f>_xlfn.ANCHORARRAY($G$45)</f>
        <v>#VALUE!</v>
      </c>
      <c r="H48" s="6" t="e">
        <f>_xlfn.ANCHORARRAY($G$45)</f>
        <v>#VALUE!</v>
      </c>
    </row>
    <row r="49" spans="1:10">
      <c r="A49" s="6">
        <f>ERROR.TYPE(H44)</f>
        <v>3</v>
      </c>
      <c r="B49" s="6">
        <v>3</v>
      </c>
      <c r="C49" s="6" t="b">
        <f t="shared" si="5"/>
        <v>1</v>
      </c>
      <c r="D49" s="22" t="str">
        <f ca="1">_xlfn.FORMULATEXT(H44)</f>
        <v>=@$G$45#</v>
      </c>
    </row>
    <row r="50" spans="1:10">
      <c r="A50" s="6">
        <f>H45</f>
        <v>4</v>
      </c>
      <c r="B50" s="6">
        <v>4</v>
      </c>
      <c r="C50" s="6" t="b">
        <f t="shared" si="5"/>
        <v>1</v>
      </c>
      <c r="D50" s="22" t="str">
        <f ca="1">_xlfn.FORMULATEXT(H45)</f>
        <v>=@$G$45#</v>
      </c>
    </row>
    <row r="51" spans="1:10">
      <c r="A51" s="6">
        <f>H46</f>
        <v>7</v>
      </c>
      <c r="B51" s="6">
        <v>7</v>
      </c>
      <c r="C51" s="6" t="b">
        <f t="shared" si="5"/>
        <v>1</v>
      </c>
      <c r="D51" s="22" t="str">
        <f ca="1">_xlfn.FORMULATEXT(H46)</f>
        <v>=@$G$45#</v>
      </c>
    </row>
    <row r="52" spans="1:10">
      <c r="A52" s="6">
        <f>H47</f>
        <v>8</v>
      </c>
      <c r="B52" s="6">
        <v>8</v>
      </c>
      <c r="C52" s="6" t="b">
        <f t="shared" si="5"/>
        <v>1</v>
      </c>
      <c r="D52" s="22" t="str">
        <f ca="1">_xlfn.FORMULATEXT(H47)</f>
        <v>=@$G$45#</v>
      </c>
    </row>
    <row r="53" spans="1:10">
      <c r="A53" s="6">
        <f>ERROR.TYPE(H48)</f>
        <v>3</v>
      </c>
      <c r="B53" s="6">
        <v>3</v>
      </c>
      <c r="C53" s="6" t="b">
        <f t="shared" si="5"/>
        <v>1</v>
      </c>
      <c r="D53" s="22" t="str">
        <f ca="1">_xlfn.FORMULATEXT(H48)</f>
        <v>=@$G$45#</v>
      </c>
    </row>
    <row r="54" spans="1:10">
      <c r="A54" s="11">
        <f>ERROR.TYPE(F59)</f>
        <v>3</v>
      </c>
      <c r="B54" s="11">
        <v>3</v>
      </c>
      <c r="C54" s="11" t="b">
        <f t="shared" si="5"/>
        <v>1</v>
      </c>
      <c r="D54" s="28"/>
    </row>
    <row r="55" spans="1:10">
      <c r="A55" s="11">
        <f>G59</f>
        <v>4</v>
      </c>
      <c r="B55" s="11">
        <v>4</v>
      </c>
      <c r="C55" s="11" t="b">
        <f t="shared" si="5"/>
        <v>1</v>
      </c>
      <c r="D55" s="28"/>
    </row>
    <row r="56" spans="1:10">
      <c r="A56" s="11">
        <f>H59</f>
        <v>7</v>
      </c>
      <c r="B56" s="11">
        <v>7</v>
      </c>
      <c r="C56" s="11" t="b">
        <f t="shared" si="5"/>
        <v>1</v>
      </c>
      <c r="D56" s="28"/>
    </row>
    <row r="57" spans="1:10">
      <c r="A57" s="11">
        <f>I59</f>
        <v>8</v>
      </c>
      <c r="B57" s="11">
        <v>8</v>
      </c>
      <c r="C57" s="11" t="b">
        <f t="shared" si="5"/>
        <v>1</v>
      </c>
      <c r="D57" s="28"/>
    </row>
    <row r="58" spans="1:10">
      <c r="A58" s="11">
        <f>ERROR.TYPE(J59)</f>
        <v>3</v>
      </c>
      <c r="B58" s="11">
        <v>3</v>
      </c>
      <c r="C58" s="11" t="b">
        <f t="shared" si="5"/>
        <v>1</v>
      </c>
      <c r="D58" s="28"/>
      <c r="F58" s="50" t="s">
        <v>16</v>
      </c>
      <c r="G58" s="50"/>
      <c r="H58" s="50"/>
      <c r="I58" s="50"/>
    </row>
    <row r="59" spans="1:10">
      <c r="A59" s="11">
        <f>ERROR.TYPE(F60)</f>
        <v>3</v>
      </c>
      <c r="B59" s="11">
        <v>3</v>
      </c>
      <c r="C59" s="11" t="b">
        <f t="shared" si="5"/>
        <v>1</v>
      </c>
      <c r="D59" s="28"/>
      <c r="F59" s="11" t="e">
        <f>$G$60:$I$60</f>
        <v>#VALUE!</v>
      </c>
      <c r="G59" s="11">
        <f>$G$60:$I$60</f>
        <v>4</v>
      </c>
      <c r="H59" s="11">
        <f>$G$60:$I$60</f>
        <v>7</v>
      </c>
      <c r="I59" s="11">
        <f>$G$60:$I$60</f>
        <v>8</v>
      </c>
      <c r="J59" s="11" t="e">
        <f>$G$60:$I$60</f>
        <v>#VALUE!</v>
      </c>
    </row>
    <row r="60" spans="1:10">
      <c r="A60" s="11">
        <f>G60</f>
        <v>4</v>
      </c>
      <c r="B60" s="11">
        <v>4</v>
      </c>
      <c r="C60" s="11" t="b">
        <f t="shared" si="5"/>
        <v>1</v>
      </c>
      <c r="D60" s="28"/>
      <c r="F60" s="11" t="e">
        <f>$G$60:$I$60</f>
        <v>#VALUE!</v>
      </c>
      <c r="G60" s="11">
        <v>4</v>
      </c>
      <c r="H60" s="11">
        <v>7</v>
      </c>
      <c r="I60" s="11">
        <v>8</v>
      </c>
      <c r="J60" s="11" t="e">
        <f>$G$60:$I$60</f>
        <v>#VALUE!</v>
      </c>
    </row>
    <row r="61" spans="1:10">
      <c r="A61" s="11">
        <f>H60</f>
        <v>7</v>
      </c>
      <c r="B61" s="11">
        <v>7</v>
      </c>
      <c r="C61" s="11" t="b">
        <f t="shared" si="5"/>
        <v>1</v>
      </c>
      <c r="D61" s="28"/>
      <c r="F61" s="11" t="e">
        <f>$G$60:$I$60</f>
        <v>#VALUE!</v>
      </c>
      <c r="G61" s="11">
        <f>$G$60:$I$60</f>
        <v>4</v>
      </c>
      <c r="H61" s="11">
        <f>$G$60:$I$60</f>
        <v>7</v>
      </c>
      <c r="I61" s="11">
        <f>$G$60:$I$60</f>
        <v>8</v>
      </c>
      <c r="J61" s="11" t="e">
        <f>$G$60:$I$60</f>
        <v>#VALUE!</v>
      </c>
    </row>
    <row r="62" spans="1:10">
      <c r="A62" s="11">
        <f>I60</f>
        <v>8</v>
      </c>
      <c r="B62" s="11">
        <v>8</v>
      </c>
      <c r="C62" s="11" t="b">
        <f t="shared" si="5"/>
        <v>1</v>
      </c>
      <c r="D62" s="28"/>
    </row>
    <row r="63" spans="1:10">
      <c r="A63" s="11">
        <f>ERROR.TYPE(J60)</f>
        <v>3</v>
      </c>
      <c r="B63" s="11">
        <v>3</v>
      </c>
      <c r="C63" s="11" t="b">
        <f t="shared" si="5"/>
        <v>1</v>
      </c>
      <c r="D63" s="28"/>
    </row>
    <row r="64" spans="1:10">
      <c r="A64" s="11">
        <f>ERROR.TYPE(F61)</f>
        <v>3</v>
      </c>
      <c r="B64" s="11">
        <v>3</v>
      </c>
      <c r="C64" s="11" t="b">
        <f t="shared" si="5"/>
        <v>1</v>
      </c>
      <c r="D64" s="28"/>
    </row>
    <row r="65" spans="1:12">
      <c r="A65" s="11">
        <f>G61</f>
        <v>4</v>
      </c>
      <c r="B65" s="11">
        <v>4</v>
      </c>
      <c r="C65" s="11" t="b">
        <f t="shared" si="5"/>
        <v>1</v>
      </c>
      <c r="D65" s="28"/>
    </row>
    <row r="66" spans="1:12">
      <c r="A66" s="11">
        <f>H61</f>
        <v>7</v>
      </c>
      <c r="B66" s="11">
        <v>7</v>
      </c>
      <c r="C66" s="11" t="b">
        <f t="shared" si="5"/>
        <v>1</v>
      </c>
      <c r="D66" s="28"/>
    </row>
    <row r="67" spans="1:12">
      <c r="A67" s="11">
        <f>I61</f>
        <v>8</v>
      </c>
      <c r="B67" s="11">
        <v>8</v>
      </c>
      <c r="C67" s="11" t="b">
        <f t="shared" si="5"/>
        <v>1</v>
      </c>
      <c r="D67" s="28"/>
    </row>
    <row r="68" spans="1:12">
      <c r="A68" s="11">
        <f>ERROR.TYPE(J61)</f>
        <v>3</v>
      </c>
      <c r="B68" s="11">
        <v>3</v>
      </c>
      <c r="C68" s="11" t="b">
        <f t="shared" si="5"/>
        <v>1</v>
      </c>
      <c r="D68" s="28"/>
    </row>
    <row r="69" spans="1:12">
      <c r="A69" s="3">
        <f>I74</f>
        <v>8</v>
      </c>
      <c r="B69" s="3">
        <v>8</v>
      </c>
      <c r="C69" s="3" t="b">
        <f t="shared" si="5"/>
        <v>1</v>
      </c>
      <c r="D69" s="47" t="str">
        <f ca="1">$I$73</f>
        <v>=F74:F76+G74:G76</v>
      </c>
    </row>
    <row r="70" spans="1:12">
      <c r="A70" s="3">
        <f>I75</f>
        <v>8</v>
      </c>
      <c r="B70" s="3">
        <v>8</v>
      </c>
      <c r="C70" s="3" t="b">
        <f t="shared" si="5"/>
        <v>1</v>
      </c>
      <c r="D70" s="47"/>
    </row>
    <row r="71" spans="1:12">
      <c r="A71" s="3">
        <f>I76</f>
        <v>8</v>
      </c>
      <c r="B71" s="3">
        <v>8</v>
      </c>
      <c r="C71" s="3" t="b">
        <f t="shared" si="5"/>
        <v>1</v>
      </c>
      <c r="D71" s="47"/>
    </row>
    <row r="72" spans="1:12">
      <c r="A72" s="3">
        <f>J74</f>
        <v>8</v>
      </c>
      <c r="B72" s="3">
        <v>8</v>
      </c>
      <c r="C72" s="3" t="b">
        <f t="shared" si="5"/>
        <v>1</v>
      </c>
      <c r="D72" s="47" t="str">
        <f ca="1">$J$73</f>
        <v>=@F74:F76+G74:G76</v>
      </c>
    </row>
    <row r="73" spans="1:12">
      <c r="A73" s="3">
        <f>J75</f>
        <v>7</v>
      </c>
      <c r="B73" s="3">
        <v>7</v>
      </c>
      <c r="C73" s="3" t="b">
        <f t="shared" si="5"/>
        <v>1</v>
      </c>
      <c r="D73" s="47"/>
      <c r="F73" s="15" t="s">
        <v>7</v>
      </c>
      <c r="G73" s="15" t="s">
        <v>8</v>
      </c>
      <c r="H73" s="3"/>
      <c r="I73" s="3" t="str">
        <f ca="1">_xlfn.FORMULATEXT(I74)</f>
        <v>=F74:F76+G74:G76</v>
      </c>
      <c r="J73" s="3" t="str">
        <f ca="1">_xlfn.FORMULATEXT(J74)</f>
        <v>=@F74:F76+G74:G76</v>
      </c>
      <c r="K73" s="3" t="str">
        <f ca="1">_xlfn.FORMULATEXT(K74)</f>
        <v>=F74:F76+@G74:G76</v>
      </c>
      <c r="L73" s="3" t="str">
        <f ca="1">_xlfn.FORMULATEXT(L74)</f>
        <v>=@F74:F76+@G74:G76</v>
      </c>
    </row>
    <row r="74" spans="1:12">
      <c r="A74" s="3">
        <f>J76</f>
        <v>6</v>
      </c>
      <c r="B74" s="3">
        <v>6</v>
      </c>
      <c r="C74" s="3" t="b">
        <f t="shared" si="5"/>
        <v>1</v>
      </c>
      <c r="D74" s="47"/>
      <c r="F74" s="3">
        <v>1</v>
      </c>
      <c r="G74" s="3">
        <v>7</v>
      </c>
      <c r="H74" s="3"/>
      <c r="I74" s="3" cm="1">
        <f t="array" ref="I74:I76">F74:F76+G74:G76</f>
        <v>8</v>
      </c>
      <c r="J74" s="3" cm="1">
        <f t="array" ref="J74:J76">_xlfn.SINGLE(F74:F76)+G74:G76</f>
        <v>8</v>
      </c>
      <c r="K74" s="3" cm="1">
        <f t="array" ref="K74:K76">F74:F76+_xlfn.SINGLE(G74:G76)</f>
        <v>8</v>
      </c>
      <c r="L74" s="3">
        <f>F74:F76+G74:G76</f>
        <v>8</v>
      </c>
    </row>
    <row r="75" spans="1:12">
      <c r="A75" s="3">
        <f>K74</f>
        <v>8</v>
      </c>
      <c r="B75" s="3">
        <v>8</v>
      </c>
      <c r="C75" s="3" t="b">
        <f t="shared" si="5"/>
        <v>1</v>
      </c>
      <c r="D75" s="47" t="str">
        <f ca="1">$K$73</f>
        <v>=F74:F76+@G74:G76</v>
      </c>
      <c r="F75" s="3">
        <v>2</v>
      </c>
      <c r="G75" s="3">
        <v>6</v>
      </c>
      <c r="H75" s="3"/>
      <c r="I75" s="3">
        <v>8</v>
      </c>
      <c r="J75" s="3">
        <v>7</v>
      </c>
      <c r="K75" s="3">
        <v>9</v>
      </c>
      <c r="L75" s="3"/>
    </row>
    <row r="76" spans="1:12">
      <c r="A76" s="3">
        <f>K75</f>
        <v>9</v>
      </c>
      <c r="B76" s="3">
        <v>9</v>
      </c>
      <c r="C76" s="3" t="b">
        <f t="shared" si="5"/>
        <v>1</v>
      </c>
      <c r="D76" s="47"/>
      <c r="F76" s="3">
        <v>3</v>
      </c>
      <c r="G76" s="3">
        <v>5</v>
      </c>
      <c r="H76" s="3"/>
      <c r="I76" s="3">
        <v>8</v>
      </c>
      <c r="J76" s="3">
        <v>6</v>
      </c>
      <c r="K76" s="3">
        <v>10</v>
      </c>
      <c r="L76" s="3"/>
    </row>
    <row r="77" spans="1:12">
      <c r="A77" s="3">
        <f>K76</f>
        <v>10</v>
      </c>
      <c r="B77" s="3">
        <v>10</v>
      </c>
      <c r="C77" s="3" t="b">
        <f t="shared" si="5"/>
        <v>1</v>
      </c>
      <c r="D77" s="47"/>
    </row>
    <row r="78" spans="1:12">
      <c r="A78" s="3">
        <f>L74</f>
        <v>8</v>
      </c>
      <c r="B78" s="3">
        <v>8</v>
      </c>
      <c r="C78" s="3" t="b">
        <f t="shared" si="5"/>
        <v>1</v>
      </c>
      <c r="D78" s="47" t="str">
        <f ca="1">$L$73</f>
        <v>=@F74:F76+@G74:G76</v>
      </c>
    </row>
    <row r="79" spans="1:12">
      <c r="A79" s="3">
        <f>L75</f>
        <v>0</v>
      </c>
      <c r="B79" s="3">
        <v>0</v>
      </c>
      <c r="C79" s="3" t="b">
        <f t="shared" si="5"/>
        <v>1</v>
      </c>
      <c r="D79" s="47"/>
    </row>
    <row r="80" spans="1:12">
      <c r="A80" s="3">
        <f>L76</f>
        <v>0</v>
      </c>
      <c r="B80" s="3">
        <v>0</v>
      </c>
      <c r="C80" s="3" t="b">
        <f t="shared" si="5"/>
        <v>1</v>
      </c>
      <c r="D80" s="47"/>
    </row>
  </sheetData>
  <mergeCells count="10">
    <mergeCell ref="D72:D74"/>
    <mergeCell ref="D75:D77"/>
    <mergeCell ref="D78:D80"/>
    <mergeCell ref="A1:F1"/>
    <mergeCell ref="D35:D38"/>
    <mergeCell ref="D20:D23"/>
    <mergeCell ref="F58:I58"/>
    <mergeCell ref="D69:D71"/>
    <mergeCell ref="D45:D47"/>
    <mergeCell ref="F43:H43"/>
  </mergeCells>
  <conditionalFormatting sqref="A3">
    <cfRule type="cellIs" dxfId="1" priority="1" operator="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968F-2DFE-4ED2-BFDC-B4839FA4B5B6}">
  <dimension ref="A1:P115"/>
  <sheetViews>
    <sheetView workbookViewId="0">
      <selection activeCell="A5" sqref="A5:D5"/>
    </sheetView>
  </sheetViews>
  <sheetFormatPr defaultRowHeight="15"/>
  <cols>
    <col min="1" max="1" width="10.42578125" customWidth="1"/>
    <col min="4" max="4" width="46.140625" bestFit="1" customWidth="1"/>
    <col min="5" max="5" width="29" customWidth="1"/>
    <col min="6" max="6" width="18.42578125" bestFit="1" customWidth="1"/>
    <col min="8" max="8" width="7.140625" bestFit="1" customWidth="1"/>
    <col min="9" max="9" width="7.140625" customWidth="1"/>
    <col min="10" max="10" width="9.7109375" customWidth="1"/>
    <col min="11" max="11" width="10.85546875" customWidth="1"/>
    <col min="12" max="12" width="8" bestFit="1" customWidth="1"/>
    <col min="13" max="13" width="16" bestFit="1" customWidth="1"/>
    <col min="14" max="14" width="10.28515625" bestFit="1" customWidth="1"/>
    <col min="15" max="15" width="29.140625" bestFit="1" customWidth="1"/>
    <col min="16" max="16" width="14.140625" bestFit="1" customWidth="1"/>
    <col min="17" max="17" width="29" bestFit="1" customWidth="1"/>
    <col min="18" max="18" width="29.85546875" bestFit="1" customWidth="1"/>
    <col min="19" max="19" width="13.28515625" bestFit="1" customWidth="1"/>
    <col min="20" max="20" width="26.5703125" bestFit="1" customWidth="1"/>
  </cols>
  <sheetData>
    <row r="1" spans="1:10" ht="26.25">
      <c r="A1" s="53" t="s">
        <v>17</v>
      </c>
      <c r="B1" s="53"/>
      <c r="C1" s="53"/>
      <c r="D1" s="53"/>
      <c r="E1" s="40"/>
    </row>
    <row r="2" spans="1:10">
      <c r="A2" s="33" t="s">
        <v>1</v>
      </c>
      <c r="B2" s="33"/>
      <c r="C2" s="33"/>
    </row>
    <row r="3" spans="1:10">
      <c r="A3" s="34" t="b">
        <f ca="1">AND(C5:C525)</f>
        <v>1</v>
      </c>
      <c r="B3" s="35"/>
      <c r="C3" s="35"/>
    </row>
    <row r="4" spans="1:10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14</v>
      </c>
      <c r="J4" s="16"/>
    </row>
    <row r="5" spans="1:10">
      <c r="A5" s="42">
        <f>TYPE(_xlfn.ANCHORARRAY(G5))</f>
        <v>64</v>
      </c>
      <c r="B5" s="42">
        <v>64</v>
      </c>
      <c r="C5" s="42" t="b">
        <v>1</v>
      </c>
      <c r="D5" s="18" t="str">
        <f ca="1">_xlfn.FORMULATEXT(A5)</f>
        <v>=TYPE(G5#)</v>
      </c>
      <c r="E5" s="38" t="s">
        <v>18</v>
      </c>
      <c r="F5">
        <v>2</v>
      </c>
      <c r="G5" s="30" cm="1">
        <f t="array" ref="G5:G7">F5:F7</f>
        <v>2</v>
      </c>
      <c r="H5" s="31" cm="1">
        <f t="array" ref="H5:H8">F8:F11</f>
        <v>7</v>
      </c>
      <c r="J5" s="16"/>
    </row>
    <row r="6" spans="1:10">
      <c r="A6" s="41" t="b">
        <f>ISREF(_xlfn.ANCHORARRAY(G5))</f>
        <v>1</v>
      </c>
      <c r="B6" s="41" t="b">
        <v>1</v>
      </c>
      <c r="C6" s="41" t="b">
        <f>A6=B6</f>
        <v>1</v>
      </c>
      <c r="D6" s="19" t="str">
        <f ca="1">_xlfn.FORMULATEXT(A6)</f>
        <v>=ISREF(G5#)</v>
      </c>
      <c r="E6" s="9"/>
      <c r="F6">
        <v>4</v>
      </c>
      <c r="G6" s="30">
        <v>4</v>
      </c>
      <c r="H6" s="31">
        <v>4</v>
      </c>
      <c r="J6" s="16"/>
    </row>
    <row r="7" spans="1:10">
      <c r="A7" s="39" t="b" cm="1">
        <f t="array" ref="A7:A9">_xlfn.ISFORMULA(_xlfn.ANCHORARRAY(G5))</f>
        <v>1</v>
      </c>
      <c r="B7" s="39" t="b">
        <v>1</v>
      </c>
      <c r="C7" s="39" t="b">
        <f>A7=B7</f>
        <v>1</v>
      </c>
      <c r="D7" s="20" t="str">
        <f ca="1">_xlfn.FORMULATEXT(A7)</f>
        <v>=ISFORMULA(G5#)</v>
      </c>
      <c r="E7" s="9"/>
      <c r="F7">
        <v>7</v>
      </c>
      <c r="G7" s="30">
        <v>7</v>
      </c>
      <c r="H7" s="31">
        <v>7</v>
      </c>
      <c r="J7" s="16"/>
    </row>
    <row r="8" spans="1:10">
      <c r="A8" s="39" t="b">
        <v>0</v>
      </c>
      <c r="B8" s="39" t="b">
        <v>0</v>
      </c>
      <c r="C8" s="39" t="b">
        <f>A8=B8</f>
        <v>1</v>
      </c>
      <c r="D8" s="39"/>
      <c r="E8" s="9"/>
      <c r="F8">
        <v>7</v>
      </c>
      <c r="H8" s="31">
        <v>8</v>
      </c>
      <c r="J8" s="16"/>
    </row>
    <row r="9" spans="1:10">
      <c r="A9" s="39" t="b">
        <v>0</v>
      </c>
      <c r="B9" s="39" t="b">
        <v>0</v>
      </c>
      <c r="C9" s="39" t="b">
        <f>A9=B9</f>
        <v>1</v>
      </c>
      <c r="D9" s="39"/>
      <c r="E9" s="9"/>
      <c r="F9">
        <v>4</v>
      </c>
      <c r="J9" s="16"/>
    </row>
    <row r="10" spans="1:10">
      <c r="A10" s="44" t="b" cm="1">
        <f t="array" ref="A10:A12">ISNUMBER(_xlfn.ANCHORARRAY(G5))</f>
        <v>1</v>
      </c>
      <c r="B10" s="44" t="b">
        <v>1</v>
      </c>
      <c r="C10" s="44" t="b">
        <f>A10=B10</f>
        <v>1</v>
      </c>
      <c r="D10" s="21" t="str">
        <f ca="1">_xlfn.FORMULATEXT(A10)</f>
        <v>=ISNUMBER(G5#)</v>
      </c>
      <c r="E10" s="9"/>
      <c r="F10">
        <v>7</v>
      </c>
      <c r="J10" s="16"/>
    </row>
    <row r="11" spans="1:10">
      <c r="A11" s="44" t="b">
        <v>1</v>
      </c>
      <c r="B11" s="44" t="b">
        <v>1</v>
      </c>
      <c r="C11" s="44" t="b">
        <f>A11=B11</f>
        <v>1</v>
      </c>
      <c r="D11" s="44"/>
      <c r="E11" s="9"/>
      <c r="F11">
        <v>8</v>
      </c>
      <c r="J11" s="16"/>
    </row>
    <row r="12" spans="1:10">
      <c r="A12" s="44" t="b">
        <v>1</v>
      </c>
      <c r="B12" s="44" t="b">
        <v>1</v>
      </c>
      <c r="C12" s="44" t="b">
        <f>A12=B12</f>
        <v>1</v>
      </c>
      <c r="D12" s="44"/>
      <c r="E12" s="9"/>
      <c r="F12" s="9"/>
      <c r="J12" s="16"/>
    </row>
    <row r="13" spans="1:10">
      <c r="A13" s="45" t="b" cm="1">
        <f t="array" ref="A13:A15">ISTEXT(_xlfn.ANCHORARRAY(G5))</f>
        <v>0</v>
      </c>
      <c r="B13" s="45" t="b">
        <v>0</v>
      </c>
      <c r="C13" s="45" t="b">
        <f>A13=B13</f>
        <v>1</v>
      </c>
      <c r="D13" s="22" t="str">
        <f ca="1">_xlfn.FORMULATEXT(A13)</f>
        <v>=ISTEXT(G5#)</v>
      </c>
      <c r="E13" s="9"/>
      <c r="F13" s="9"/>
      <c r="J13" s="16"/>
    </row>
    <row r="14" spans="1:10">
      <c r="A14" s="45" t="b">
        <v>0</v>
      </c>
      <c r="B14" s="45" t="b">
        <v>0</v>
      </c>
      <c r="C14" s="45" t="b">
        <f>A14=B14</f>
        <v>1</v>
      </c>
      <c r="D14" s="45"/>
      <c r="E14" s="9"/>
      <c r="F14" s="9"/>
      <c r="J14" s="16"/>
    </row>
    <row r="15" spans="1:10">
      <c r="A15" s="45" t="b">
        <v>0</v>
      </c>
      <c r="B15" s="45" t="b">
        <v>0</v>
      </c>
      <c r="C15" s="45" t="b">
        <f>A15=B15</f>
        <v>1</v>
      </c>
      <c r="D15" s="45"/>
      <c r="E15" s="9"/>
      <c r="F15" s="9"/>
      <c r="J15" s="16"/>
    </row>
    <row r="16" spans="1:10">
      <c r="A16" s="43" t="b" cm="1">
        <f t="array" ref="A16:A18">ISERROR(_xlfn.ANCHORARRAY(G5))</f>
        <v>0</v>
      </c>
      <c r="B16" s="43" t="b">
        <v>0</v>
      </c>
      <c r="C16" s="43" t="b">
        <f t="shared" ref="C16:C18" si="0">A16=B16</f>
        <v>1</v>
      </c>
      <c r="D16" s="17" t="str">
        <f ca="1">_xlfn.FORMULATEXT(A16)</f>
        <v>=ISERROR(G5#)</v>
      </c>
      <c r="E16" s="9"/>
      <c r="F16" s="9"/>
      <c r="J16" s="16"/>
    </row>
    <row r="17" spans="1:10">
      <c r="A17" s="43" t="b">
        <v>0</v>
      </c>
      <c r="B17" s="43" t="b">
        <v>0</v>
      </c>
      <c r="C17" s="43" t="b">
        <f t="shared" si="0"/>
        <v>1</v>
      </c>
      <c r="D17" s="43"/>
      <c r="E17" s="9"/>
      <c r="F17" s="9"/>
      <c r="J17" s="16"/>
    </row>
    <row r="18" spans="1:10">
      <c r="A18" s="43" t="b">
        <v>0</v>
      </c>
      <c r="B18" s="43" t="b">
        <v>0</v>
      </c>
      <c r="C18" s="43" t="b">
        <f t="shared" si="0"/>
        <v>1</v>
      </c>
      <c r="D18" s="43"/>
      <c r="E18" s="9"/>
      <c r="F18" s="9"/>
      <c r="J18" s="16"/>
    </row>
    <row r="19" spans="1:10">
      <c r="A19" s="42" t="b" cm="1">
        <f t="array" ref="A19:A21">ISBLANK(_xlfn.ANCHORARRAY(G5))</f>
        <v>0</v>
      </c>
      <c r="B19" s="42" t="b">
        <v>0</v>
      </c>
      <c r="C19" s="42" t="b">
        <f>A19=B19</f>
        <v>1</v>
      </c>
      <c r="D19" s="18" t="str">
        <f ca="1">_xlfn.FORMULATEXT(A19)</f>
        <v>=ISBLANK(G5#)</v>
      </c>
      <c r="E19" s="9"/>
      <c r="F19" s="9"/>
      <c r="J19" s="16"/>
    </row>
    <row r="20" spans="1:10">
      <c r="A20" s="42" t="b">
        <v>0</v>
      </c>
      <c r="B20" s="42" t="b">
        <v>0</v>
      </c>
      <c r="C20" s="42" t="b">
        <f>A20=B20</f>
        <v>1</v>
      </c>
      <c r="D20" s="42"/>
      <c r="E20" s="9"/>
      <c r="F20" s="9"/>
      <c r="J20" s="16"/>
    </row>
    <row r="21" spans="1:10">
      <c r="A21" s="42" t="b">
        <v>0</v>
      </c>
      <c r="B21" s="42" t="b">
        <v>0</v>
      </c>
      <c r="C21" s="42" t="b">
        <f>A21=B21</f>
        <v>1</v>
      </c>
      <c r="D21" s="42"/>
      <c r="E21" s="9"/>
      <c r="J21" s="16"/>
    </row>
    <row r="22" spans="1:10">
      <c r="A22" s="31">
        <f>H5</f>
        <v>7</v>
      </c>
      <c r="B22" s="31">
        <v>7</v>
      </c>
      <c r="C22" s="31" t="b">
        <f t="shared" ref="C22:C85" si="1">A22=B22</f>
        <v>1</v>
      </c>
      <c r="D22" s="36" t="str">
        <f ca="1">_xlfn.FORMULATEXT(H5)</f>
        <v>=F8:F11</v>
      </c>
    </row>
    <row r="23" spans="1:10">
      <c r="A23" s="31">
        <f>H6</f>
        <v>4</v>
      </c>
      <c r="B23" s="31">
        <v>4</v>
      </c>
      <c r="C23" s="31" t="b">
        <f t="shared" si="1"/>
        <v>1</v>
      </c>
      <c r="D23" s="36"/>
    </row>
    <row r="24" spans="1:10">
      <c r="A24" s="31">
        <f>H7</f>
        <v>7</v>
      </c>
      <c r="B24" s="31">
        <v>7</v>
      </c>
      <c r="C24" s="31" t="b">
        <f t="shared" si="1"/>
        <v>1</v>
      </c>
      <c r="D24" s="36"/>
    </row>
    <row r="25" spans="1:10">
      <c r="A25" s="31">
        <f>H8</f>
        <v>8</v>
      </c>
      <c r="B25" s="31">
        <v>8</v>
      </c>
      <c r="C25" s="31" t="b">
        <f t="shared" si="1"/>
        <v>1</v>
      </c>
      <c r="D25" s="36"/>
    </row>
    <row r="26" spans="1:10">
      <c r="A26" s="1" cm="1">
        <f t="array" ref="A26:A29">_xlfn.ANCHORARRAY(H5)</f>
        <v>7</v>
      </c>
      <c r="B26" s="1">
        <v>7</v>
      </c>
      <c r="C26" s="1" t="b">
        <f t="shared" si="1"/>
        <v>1</v>
      </c>
      <c r="D26" s="17" t="str">
        <f ca="1">_xlfn.FORMULATEXT(A26)</f>
        <v>=H5#</v>
      </c>
    </row>
    <row r="27" spans="1:10">
      <c r="A27" s="1">
        <v>4</v>
      </c>
      <c r="B27" s="1">
        <v>4</v>
      </c>
      <c r="C27" s="1" t="b">
        <f t="shared" si="1"/>
        <v>1</v>
      </c>
      <c r="D27" s="17"/>
    </row>
    <row r="28" spans="1:10">
      <c r="A28" s="1">
        <v>7</v>
      </c>
      <c r="B28" s="1">
        <v>7</v>
      </c>
      <c r="C28" s="1" t="b">
        <f t="shared" si="1"/>
        <v>1</v>
      </c>
      <c r="D28" s="17"/>
    </row>
    <row r="29" spans="1:10">
      <c r="A29" s="1">
        <v>8</v>
      </c>
      <c r="B29" s="1">
        <v>8</v>
      </c>
      <c r="C29" s="1" t="b">
        <f t="shared" si="1"/>
        <v>1</v>
      </c>
      <c r="D29" s="17"/>
    </row>
    <row r="30" spans="1:10">
      <c r="A30" s="2" cm="1">
        <f t="array" ref="A30:A33">_xlfn.ANCHORARRAY(((H5)))</f>
        <v>7</v>
      </c>
      <c r="B30" s="2">
        <v>7</v>
      </c>
      <c r="C30" s="2" t="b">
        <f t="shared" si="1"/>
        <v>1</v>
      </c>
      <c r="D30" s="18" t="str">
        <f ca="1">_xlfn.FORMULATEXT(A30)</f>
        <v>=((H5))#</v>
      </c>
    </row>
    <row r="31" spans="1:10">
      <c r="A31" s="2">
        <v>4</v>
      </c>
      <c r="B31" s="2">
        <v>4</v>
      </c>
      <c r="C31" s="2" t="b">
        <f t="shared" si="1"/>
        <v>1</v>
      </c>
      <c r="D31" s="18"/>
    </row>
    <row r="32" spans="1:10">
      <c r="A32" s="2">
        <v>7</v>
      </c>
      <c r="B32" s="2">
        <v>7</v>
      </c>
      <c r="C32" s="2" t="b">
        <f t="shared" si="1"/>
        <v>1</v>
      </c>
      <c r="D32" s="18"/>
    </row>
    <row r="33" spans="1:4">
      <c r="A33" s="2">
        <v>8</v>
      </c>
      <c r="B33" s="2">
        <v>8</v>
      </c>
      <c r="C33" s="2" t="b">
        <f t="shared" si="1"/>
        <v>1</v>
      </c>
      <c r="D33" s="18"/>
    </row>
    <row r="34" spans="1:4">
      <c r="A34" s="3" cm="1">
        <f t="array" ref="A34:A37">_xlfn.ANCHORARRAY($H$5)</f>
        <v>7</v>
      </c>
      <c r="B34" s="3">
        <v>7</v>
      </c>
      <c r="C34" s="3" t="b">
        <f t="shared" si="1"/>
        <v>1</v>
      </c>
      <c r="D34" s="19" t="str">
        <f ca="1">_xlfn.FORMULATEXT(A34)</f>
        <v>=$H$5#</v>
      </c>
    </row>
    <row r="35" spans="1:4">
      <c r="A35" s="3">
        <v>4</v>
      </c>
      <c r="B35" s="3">
        <v>4</v>
      </c>
      <c r="C35" s="3" t="b">
        <f t="shared" si="1"/>
        <v>1</v>
      </c>
      <c r="D35" s="19"/>
    </row>
    <row r="36" spans="1:4">
      <c r="A36" s="3">
        <v>7</v>
      </c>
      <c r="B36" s="3">
        <v>7</v>
      </c>
      <c r="C36" s="3" t="b">
        <f t="shared" si="1"/>
        <v>1</v>
      </c>
      <c r="D36" s="19"/>
    </row>
    <row r="37" spans="1:4">
      <c r="A37" s="3">
        <v>8</v>
      </c>
      <c r="B37" s="3">
        <v>8</v>
      </c>
      <c r="C37" s="3" t="b">
        <f t="shared" si="1"/>
        <v>1</v>
      </c>
      <c r="D37" s="19"/>
    </row>
    <row r="38" spans="1:4">
      <c r="A38" s="4" cm="1">
        <f t="array" aca="1" ref="A38:A41" ca="1">_xlfn.ANCHORARRAY(OFFSET(G4,1,1))</f>
        <v>7</v>
      </c>
      <c r="B38" s="4">
        <v>7</v>
      </c>
      <c r="C38" s="4" t="b">
        <f t="shared" ca="1" si="1"/>
        <v>1</v>
      </c>
      <c r="D38" s="20" t="str">
        <f ca="1">_xlfn.FORMULATEXT(A38)</f>
        <v>=OFFSET(G4,1,1)#</v>
      </c>
    </row>
    <row r="39" spans="1:4">
      <c r="A39" s="4">
        <f ca="1"/>
        <v>4</v>
      </c>
      <c r="B39" s="4">
        <v>4</v>
      </c>
      <c r="C39" s="4" t="b">
        <f t="shared" ca="1" si="1"/>
        <v>1</v>
      </c>
      <c r="D39" s="20"/>
    </row>
    <row r="40" spans="1:4">
      <c r="A40" s="4">
        <f ca="1"/>
        <v>7</v>
      </c>
      <c r="B40" s="4">
        <v>7</v>
      </c>
      <c r="C40" s="4" t="b">
        <f t="shared" ca="1" si="1"/>
        <v>1</v>
      </c>
      <c r="D40" s="20"/>
    </row>
    <row r="41" spans="1:4">
      <c r="A41" s="4">
        <f ca="1"/>
        <v>8</v>
      </c>
      <c r="B41" s="4">
        <v>8</v>
      </c>
      <c r="C41" s="4" t="b">
        <f t="shared" ca="1" si="1"/>
        <v>1</v>
      </c>
      <c r="D41" s="20"/>
    </row>
    <row r="42" spans="1:4">
      <c r="A42" s="5" cm="1">
        <f t="array" ref="A42:A45">_xlfn.ANCHORARRAY(H5)+ 10</f>
        <v>17</v>
      </c>
      <c r="B42" s="5">
        <v>17</v>
      </c>
      <c r="C42" s="5" t="b">
        <f t="shared" si="1"/>
        <v>1</v>
      </c>
      <c r="D42" s="21" t="str">
        <f ca="1">_xlfn.FORMULATEXT(A42)</f>
        <v>=H5#+ 10</v>
      </c>
    </row>
    <row r="43" spans="1:4">
      <c r="A43" s="5">
        <v>14</v>
      </c>
      <c r="B43" s="5">
        <v>14</v>
      </c>
      <c r="C43" s="5" t="b">
        <f t="shared" si="1"/>
        <v>1</v>
      </c>
      <c r="D43" s="21"/>
    </row>
    <row r="44" spans="1:4">
      <c r="A44" s="5">
        <v>17</v>
      </c>
      <c r="B44" s="5">
        <v>17</v>
      </c>
      <c r="C44" s="5" t="b">
        <f t="shared" si="1"/>
        <v>1</v>
      </c>
      <c r="D44" s="21"/>
    </row>
    <row r="45" spans="1:4">
      <c r="A45" s="5">
        <v>18</v>
      </c>
      <c r="B45" s="5">
        <v>18</v>
      </c>
      <c r="C45" s="5" t="b">
        <f t="shared" si="1"/>
        <v>1</v>
      </c>
      <c r="D45" s="21"/>
    </row>
    <row r="46" spans="1:4">
      <c r="A46" s="6" cm="1">
        <f t="array" ref="A46:A49">_xlfn.ANCHORARRAY(A42)+_xlfn.ANCHORARRAY( H5)</f>
        <v>24</v>
      </c>
      <c r="B46" s="6">
        <v>24</v>
      </c>
      <c r="C46" s="6" t="b">
        <f t="shared" si="1"/>
        <v>1</v>
      </c>
      <c r="D46" s="22" t="str">
        <f ca="1">_xlfn.FORMULATEXT(A46)</f>
        <v>=A42#+ H5#</v>
      </c>
    </row>
    <row r="47" spans="1:4">
      <c r="A47" s="6">
        <v>18</v>
      </c>
      <c r="B47" s="6">
        <v>18</v>
      </c>
      <c r="C47" s="6" t="b">
        <f t="shared" si="1"/>
        <v>1</v>
      </c>
      <c r="D47" s="22"/>
    </row>
    <row r="48" spans="1:4">
      <c r="A48" s="6">
        <v>24</v>
      </c>
      <c r="B48" s="6">
        <v>24</v>
      </c>
      <c r="C48" s="6" t="b">
        <f t="shared" si="1"/>
        <v>1</v>
      </c>
      <c r="D48" s="22"/>
    </row>
    <row r="49" spans="1:4">
      <c r="A49" s="6">
        <v>26</v>
      </c>
      <c r="B49" s="6">
        <v>26</v>
      </c>
      <c r="C49" s="6" t="b">
        <f t="shared" si="1"/>
        <v>1</v>
      </c>
      <c r="D49" s="22"/>
    </row>
    <row r="50" spans="1:4">
      <c r="A50" s="1" cm="1">
        <f t="array" ref="A50:A53">_xlfn.ANCHORARRAY(A42) +_xlfn.ANCHORARRAY( H5) - (_xlfn.ANCHORARRAY(A46) *_xlfn.ANCHORARRAY( H5)) * -1 / 4</f>
        <v>66</v>
      </c>
      <c r="B50" s="1">
        <v>66</v>
      </c>
      <c r="C50" s="1" t="b">
        <f t="shared" si="1"/>
        <v>1</v>
      </c>
      <c r="D50" s="17" t="str">
        <f ca="1">_xlfn.FORMULATEXT(A50)</f>
        <v>=A42# + H5# - (A46# * H5#) * -1 / 4</v>
      </c>
    </row>
    <row r="51" spans="1:4">
      <c r="A51" s="1">
        <v>36</v>
      </c>
      <c r="B51" s="1">
        <v>36</v>
      </c>
      <c r="C51" s="1" t="b">
        <f t="shared" si="1"/>
        <v>1</v>
      </c>
      <c r="D51" s="17"/>
    </row>
    <row r="52" spans="1:4">
      <c r="A52" s="1">
        <v>66</v>
      </c>
      <c r="B52" s="1">
        <v>66</v>
      </c>
      <c r="C52" s="1" t="b">
        <f t="shared" si="1"/>
        <v>1</v>
      </c>
      <c r="D52" s="17"/>
    </row>
    <row r="53" spans="1:4">
      <c r="A53" s="1">
        <v>78</v>
      </c>
      <c r="B53" s="1">
        <v>78</v>
      </c>
      <c r="C53" s="1" t="b">
        <f t="shared" si="1"/>
        <v>1</v>
      </c>
      <c r="D53" s="17"/>
    </row>
    <row r="54" spans="1:4">
      <c r="A54" s="11" cm="1">
        <f t="array" ref="A54:A56">_xlfn.LET(_xlpm.x,_xlfn.ANCHORARRAY(G5),_xlpm.x)</f>
        <v>2</v>
      </c>
      <c r="B54" s="11">
        <v>2</v>
      </c>
      <c r="C54" s="11" t="b">
        <f t="shared" si="1"/>
        <v>1</v>
      </c>
      <c r="D54" s="25" t="str">
        <f ca="1">_xlfn.FORMULATEXT(A54)</f>
        <v>=LET(x,G5#,x)</v>
      </c>
    </row>
    <row r="55" spans="1:4">
      <c r="A55" s="11">
        <v>4</v>
      </c>
      <c r="B55" s="11">
        <v>4</v>
      </c>
      <c r="C55" s="11" t="b">
        <f t="shared" si="1"/>
        <v>1</v>
      </c>
      <c r="D55" s="25"/>
    </row>
    <row r="56" spans="1:4">
      <c r="A56" s="11">
        <v>7</v>
      </c>
      <c r="B56" s="11">
        <v>7</v>
      </c>
      <c r="C56" s="11" t="b">
        <f t="shared" si="1"/>
        <v>1</v>
      </c>
      <c r="D56" s="25"/>
    </row>
    <row r="57" spans="1:4">
      <c r="A57" s="2" cm="1">
        <f t="array" ref="A57:A60">_xlfn._xlws.SORT(_xlfn.ANCHORARRAY(H5))</f>
        <v>4</v>
      </c>
      <c r="B57" s="2">
        <v>4</v>
      </c>
      <c r="C57" s="2" t="b">
        <f t="shared" si="1"/>
        <v>1</v>
      </c>
      <c r="D57" s="18" t="str">
        <f ca="1">_xlfn.FORMULATEXT(A57)</f>
        <v>=SORT(H5#)</v>
      </c>
    </row>
    <row r="58" spans="1:4">
      <c r="A58" s="2">
        <v>7</v>
      </c>
      <c r="B58" s="2">
        <v>7</v>
      </c>
      <c r="C58" s="2" t="b">
        <f t="shared" si="1"/>
        <v>1</v>
      </c>
      <c r="D58" s="18"/>
    </row>
    <row r="59" spans="1:4">
      <c r="A59" s="2">
        <v>7</v>
      </c>
      <c r="B59" s="2">
        <v>7</v>
      </c>
      <c r="C59" s="2" t="b">
        <f t="shared" si="1"/>
        <v>1</v>
      </c>
      <c r="D59" s="18"/>
    </row>
    <row r="60" spans="1:4">
      <c r="A60" s="2">
        <v>8</v>
      </c>
      <c r="B60" s="2">
        <v>8</v>
      </c>
      <c r="C60" s="2" t="b">
        <f t="shared" si="1"/>
        <v>1</v>
      </c>
      <c r="D60" s="18"/>
    </row>
    <row r="61" spans="1:4">
      <c r="A61" s="3" cm="1">
        <f t="array" ref="A61:A64">_xlfn._xlws.SORT(_xlfn.ANCHORARRAY(H5),,-1)</f>
        <v>8</v>
      </c>
      <c r="B61" s="3">
        <v>8</v>
      </c>
      <c r="C61" s="3" t="b">
        <f t="shared" si="1"/>
        <v>1</v>
      </c>
      <c r="D61" s="19" t="str">
        <f ca="1">_xlfn.FORMULATEXT(A61)</f>
        <v>=SORT(H5#,,-1)</v>
      </c>
    </row>
    <row r="62" spans="1:4">
      <c r="A62" s="3">
        <v>7</v>
      </c>
      <c r="B62" s="3">
        <v>7</v>
      </c>
      <c r="C62" s="3" t="b">
        <f t="shared" si="1"/>
        <v>1</v>
      </c>
      <c r="D62" s="19"/>
    </row>
    <row r="63" spans="1:4">
      <c r="A63" s="3">
        <v>7</v>
      </c>
      <c r="B63" s="3">
        <v>7</v>
      </c>
      <c r="C63" s="3" t="b">
        <f t="shared" si="1"/>
        <v>1</v>
      </c>
      <c r="D63" s="19"/>
    </row>
    <row r="64" spans="1:4">
      <c r="A64" s="3">
        <v>4</v>
      </c>
      <c r="B64" s="3">
        <v>4</v>
      </c>
      <c r="C64" s="3" t="b">
        <f t="shared" si="1"/>
        <v>1</v>
      </c>
      <c r="D64" s="19"/>
    </row>
    <row r="65" spans="1:4">
      <c r="A65" s="4" cm="1">
        <f t="array" ref="A65:A67">_xlfn.UNIQUE(_xlfn.ANCHORARRAY(H5))</f>
        <v>7</v>
      </c>
      <c r="B65" s="4">
        <v>7</v>
      </c>
      <c r="C65" s="4" t="b">
        <f t="shared" si="1"/>
        <v>1</v>
      </c>
      <c r="D65" s="20" t="str">
        <f ca="1">_xlfn.FORMULATEXT(A65)</f>
        <v>=UNIQUE(H5#)</v>
      </c>
    </row>
    <row r="66" spans="1:4">
      <c r="A66" s="4">
        <v>4</v>
      </c>
      <c r="B66" s="4">
        <v>4</v>
      </c>
      <c r="C66" s="4" t="b">
        <f t="shared" si="1"/>
        <v>1</v>
      </c>
      <c r="D66" s="20"/>
    </row>
    <row r="67" spans="1:4">
      <c r="A67" s="4">
        <v>8</v>
      </c>
      <c r="B67" s="4">
        <v>8</v>
      </c>
      <c r="C67" s="4" t="b">
        <f t="shared" si="1"/>
        <v>1</v>
      </c>
      <c r="D67" s="20"/>
    </row>
    <row r="68" spans="1:4">
      <c r="A68" s="5" cm="1">
        <f t="array" ref="A68:A70">_xlfn.UNIQUE(_xlfn.ANCHORARRAY(A50))</f>
        <v>66</v>
      </c>
      <c r="B68" s="5">
        <v>66</v>
      </c>
      <c r="C68" s="5" t="b">
        <f t="shared" si="1"/>
        <v>1</v>
      </c>
      <c r="D68" s="21" t="str">
        <f ca="1">_xlfn.FORMULATEXT(A68)</f>
        <v>=UNIQUE(A50#)</v>
      </c>
    </row>
    <row r="69" spans="1:4">
      <c r="A69" s="5">
        <v>36</v>
      </c>
      <c r="B69" s="5">
        <v>36</v>
      </c>
      <c r="C69" s="5" t="b">
        <f t="shared" si="1"/>
        <v>1</v>
      </c>
      <c r="D69" s="21"/>
    </row>
    <row r="70" spans="1:4">
      <c r="A70" s="5">
        <v>78</v>
      </c>
      <c r="B70" s="5">
        <v>78</v>
      </c>
      <c r="C70" s="5" t="b">
        <f t="shared" si="1"/>
        <v>1</v>
      </c>
      <c r="D70" s="21"/>
    </row>
    <row r="71" spans="1:4">
      <c r="A71" s="6" cm="1">
        <f t="array" ref="A71:A74">TRANSPOSE(TRANSPOSE(_xlfn.ANCHORARRAY(H5)))</f>
        <v>7</v>
      </c>
      <c r="B71" s="6">
        <v>7</v>
      </c>
      <c r="C71" s="6" t="b">
        <f t="shared" si="1"/>
        <v>1</v>
      </c>
      <c r="D71" s="22" t="str">
        <f ca="1">_xlfn.FORMULATEXT(A71)</f>
        <v>=TRANSPOSE(TRANSPOSE(H5#))</v>
      </c>
    </row>
    <row r="72" spans="1:4">
      <c r="A72" s="6">
        <v>4</v>
      </c>
      <c r="B72" s="6">
        <v>4</v>
      </c>
      <c r="C72" s="6" t="b">
        <f t="shared" si="1"/>
        <v>1</v>
      </c>
      <c r="D72" s="22"/>
    </row>
    <row r="73" spans="1:4">
      <c r="A73" s="6">
        <v>7</v>
      </c>
      <c r="B73" s="6">
        <v>7</v>
      </c>
      <c r="C73" s="6" t="b">
        <f t="shared" si="1"/>
        <v>1</v>
      </c>
      <c r="D73" s="22"/>
    </row>
    <row r="74" spans="1:4">
      <c r="A74" s="6">
        <v>8</v>
      </c>
      <c r="B74" s="6">
        <v>8</v>
      </c>
      <c r="C74" s="6" t="b">
        <f t="shared" si="1"/>
        <v>1</v>
      </c>
      <c r="D74" s="22"/>
    </row>
    <row r="75" spans="1:4">
      <c r="A75" s="1">
        <f>SUM(_xlfn.ANCHORARRAY(H5))</f>
        <v>26</v>
      </c>
      <c r="B75" s="1">
        <v>26</v>
      </c>
      <c r="C75" s="1" t="b">
        <f t="shared" si="1"/>
        <v>1</v>
      </c>
      <c r="D75" s="17" t="str">
        <f ca="1">_xlfn.FORMULATEXT(A75)</f>
        <v>=SUM(H5#)</v>
      </c>
    </row>
    <row r="76" spans="1:4">
      <c r="A76" s="2">
        <f>MIN(_xlfn.ANCHORARRAY(H5))</f>
        <v>4</v>
      </c>
      <c r="B76" s="2">
        <v>4</v>
      </c>
      <c r="C76" s="2" t="b">
        <f t="shared" si="1"/>
        <v>1</v>
      </c>
      <c r="D76" s="18" t="str">
        <f ca="1">_xlfn.FORMULATEXT(A76)</f>
        <v>=MIN(H5#)</v>
      </c>
    </row>
    <row r="77" spans="1:4">
      <c r="A77" s="3">
        <f>MAX(_xlfn.ANCHORARRAY(H5))</f>
        <v>8</v>
      </c>
      <c r="B77" s="3">
        <v>8</v>
      </c>
      <c r="C77" s="3" t="b">
        <f t="shared" si="1"/>
        <v>1</v>
      </c>
      <c r="D77" s="19" t="str">
        <f ca="1">_xlfn.FORMULATEXT(A77)</f>
        <v>=MAX(H5#)</v>
      </c>
    </row>
    <row r="78" spans="1:4">
      <c r="A78" s="4">
        <f>COUNT(_xlfn.ANCHORARRAY(H5))</f>
        <v>4</v>
      </c>
      <c r="B78" s="4">
        <v>4</v>
      </c>
      <c r="C78" s="4" t="b">
        <f t="shared" si="1"/>
        <v>1</v>
      </c>
      <c r="D78" s="20" t="str">
        <f ca="1">_xlfn.FORMULATEXT(A78)</f>
        <v>=COUNT(H5#)</v>
      </c>
    </row>
    <row r="79" spans="1:4">
      <c r="A79" s="5">
        <f>COUNT(_xlfn.ANCHORARRAY(H5))</f>
        <v>4</v>
      </c>
      <c r="B79" s="5">
        <v>4</v>
      </c>
      <c r="C79" s="5" t="b">
        <f t="shared" si="1"/>
        <v>1</v>
      </c>
      <c r="D79" s="21" t="str">
        <f ca="1">_xlfn.FORMULATEXT(A79)</f>
        <v>=COUNT(H5#)</v>
      </c>
    </row>
    <row r="80" spans="1:4">
      <c r="A80" s="6">
        <f>SUMSQ(_xlfn.ANCHORARRAY(H5))</f>
        <v>178</v>
      </c>
      <c r="B80" s="6">
        <v>178</v>
      </c>
      <c r="C80" s="6" t="b">
        <f t="shared" si="1"/>
        <v>1</v>
      </c>
      <c r="D80" s="22" t="str">
        <f ca="1">_xlfn.FORMULATEXT(A80)</f>
        <v>=SUMSQ(H5#)</v>
      </c>
    </row>
    <row r="81" spans="1:16">
      <c r="A81" s="1" cm="1">
        <f t="array" ref="A81:A84">IF(TRUE,_xlfn.ANCHORARRAY( H5) * 2,_xlfn.ANCHORARRAY( H5) * 4)</f>
        <v>14</v>
      </c>
      <c r="B81" s="1">
        <v>14</v>
      </c>
      <c r="C81" s="1" t="b">
        <f t="shared" si="1"/>
        <v>1</v>
      </c>
      <c r="D81" s="17" t="str">
        <f ca="1">_xlfn.FORMULATEXT(A81)</f>
        <v>=IF(TRUE, H5# * 2, H5# * 4)</v>
      </c>
    </row>
    <row r="82" spans="1:16">
      <c r="A82" s="1">
        <v>8</v>
      </c>
      <c r="B82" s="1">
        <v>8</v>
      </c>
      <c r="C82" s="1" t="b">
        <f t="shared" si="1"/>
        <v>1</v>
      </c>
      <c r="D82" s="17"/>
    </row>
    <row r="83" spans="1:16">
      <c r="A83" s="1">
        <v>14</v>
      </c>
      <c r="B83" s="1">
        <v>14</v>
      </c>
      <c r="C83" s="1" t="b">
        <f t="shared" si="1"/>
        <v>1</v>
      </c>
      <c r="D83" s="17"/>
    </row>
    <row r="84" spans="1:16">
      <c r="A84" s="1">
        <v>16</v>
      </c>
      <c r="B84" s="1">
        <v>16</v>
      </c>
      <c r="C84" s="1" t="b">
        <f t="shared" si="1"/>
        <v>1</v>
      </c>
      <c r="D84" s="17"/>
    </row>
    <row r="85" spans="1:16">
      <c r="A85" s="2" cm="1">
        <f t="array" ref="A85:A88">CHOOSE(1,_xlfn.ANCHORARRAY( H5),_xlfn.ANCHORARRAY( G5))</f>
        <v>7</v>
      </c>
      <c r="B85" s="2">
        <v>7</v>
      </c>
      <c r="C85" s="2" t="b">
        <f t="shared" si="1"/>
        <v>1</v>
      </c>
      <c r="D85" s="18" t="str">
        <f ca="1">_xlfn.FORMULATEXT(A85)</f>
        <v>=CHOOSE(1, H5#, G5#)</v>
      </c>
    </row>
    <row r="86" spans="1:16">
      <c r="A86" s="2">
        <v>4</v>
      </c>
      <c r="B86" s="2">
        <v>4</v>
      </c>
      <c r="C86" s="2" t="b">
        <f t="shared" ref="C86:C115" si="2">A86=B86</f>
        <v>1</v>
      </c>
      <c r="D86" s="18"/>
    </row>
    <row r="87" spans="1:16">
      <c r="A87" s="2">
        <v>7</v>
      </c>
      <c r="B87" s="2">
        <v>7</v>
      </c>
      <c r="C87" s="2" t="b">
        <f t="shared" si="2"/>
        <v>1</v>
      </c>
      <c r="D87" s="18"/>
    </row>
    <row r="88" spans="1:16">
      <c r="A88" s="2">
        <v>8</v>
      </c>
      <c r="B88" s="2">
        <v>8</v>
      </c>
      <c r="C88" s="2" t="b">
        <f t="shared" si="2"/>
        <v>1</v>
      </c>
      <c r="D88" s="18"/>
    </row>
    <row r="89" spans="1:16">
      <c r="A89" s="3" cm="1">
        <f t="array" ref="A89:A92">CHOOSE(1,_xlfn.ANCHORARRAY( H5) + 6,_xlfn.ANCHORARRAY( G5) + 7)</f>
        <v>13</v>
      </c>
      <c r="B89" s="3">
        <v>13</v>
      </c>
      <c r="C89" s="3" t="b">
        <f t="shared" si="2"/>
        <v>1</v>
      </c>
      <c r="D89" s="19" t="str">
        <f ca="1">_xlfn.FORMULATEXT(A89)</f>
        <v>=CHOOSE(1, H5# + 6, G5# + 7)</v>
      </c>
      <c r="E89" t="s">
        <v>19</v>
      </c>
    </row>
    <row r="90" spans="1:16">
      <c r="A90" s="3">
        <v>10</v>
      </c>
      <c r="B90" s="3">
        <v>10</v>
      </c>
      <c r="C90" s="3" t="b">
        <f t="shared" si="2"/>
        <v>1</v>
      </c>
      <c r="D90" s="19"/>
    </row>
    <row r="91" spans="1:16">
      <c r="A91" s="3">
        <v>13</v>
      </c>
      <c r="B91" s="3">
        <v>13</v>
      </c>
      <c r="C91" s="3" t="b">
        <f t="shared" si="2"/>
        <v>1</v>
      </c>
      <c r="D91" s="19"/>
      <c r="P91" t="s">
        <v>20</v>
      </c>
    </row>
    <row r="92" spans="1:16">
      <c r="A92" s="3">
        <v>14</v>
      </c>
      <c r="B92" s="3">
        <v>14</v>
      </c>
      <c r="C92" s="3" t="b">
        <f t="shared" si="2"/>
        <v>1</v>
      </c>
      <c r="D92" s="19"/>
    </row>
    <row r="93" spans="1:16">
      <c r="A93" s="4">
        <f>ERROR.TYPE($F$93)</f>
        <v>4</v>
      </c>
      <c r="B93" s="4">
        <v>4</v>
      </c>
      <c r="C93" s="4" t="b">
        <f t="shared" si="2"/>
        <v>1</v>
      </c>
      <c r="D93" s="20" t="str">
        <f ca="1">_xlfn.FORMULATEXT(F93)</f>
        <v>=I93#</v>
      </c>
      <c r="E93" t="s">
        <v>21</v>
      </c>
      <c r="F93" s="4" t="e" cm="1">
        <f t="array" ref="F93">_xlfn.ANCHORARRAY(I93)</f>
        <v>#REF!</v>
      </c>
      <c r="I93">
        <v>42</v>
      </c>
      <c r="J93">
        <v>1</v>
      </c>
      <c r="K93" cm="1">
        <f t="array" ref="K93:K95">J93:J95</f>
        <v>1</v>
      </c>
    </row>
    <row r="94" spans="1:16">
      <c r="A94" s="5">
        <f>ERROR.TYPE($F$94)</f>
        <v>4</v>
      </c>
      <c r="B94" s="5">
        <v>4</v>
      </c>
      <c r="C94" s="5" t="b">
        <f t="shared" si="2"/>
        <v>1</v>
      </c>
      <c r="D94" s="21" t="str">
        <f ca="1">_xlfn.FORMULATEXT(F94)</f>
        <v>=I94#</v>
      </c>
      <c r="E94" t="s">
        <v>22</v>
      </c>
      <c r="F94" s="5" t="e" cm="1">
        <f t="array" ref="F94">_xlfn.ANCHORARRAY(I94)</f>
        <v>#REF!</v>
      </c>
      <c r="I94" s="32" t="s">
        <v>23</v>
      </c>
      <c r="J94">
        <v>2</v>
      </c>
      <c r="K94">
        <v>2</v>
      </c>
    </row>
    <row r="95" spans="1:16">
      <c r="A95" s="6" cm="1">
        <f t="array" ref="A95">_xlfn.ANCHORARRAY(I95)</f>
        <v>60</v>
      </c>
      <c r="B95" s="6">
        <v>60</v>
      </c>
      <c r="C95" s="6" t="b">
        <f t="shared" si="2"/>
        <v>1</v>
      </c>
      <c r="D95" s="22" t="str">
        <f ca="1">_xlfn.FORMULATEXT(A95)</f>
        <v>=I95#</v>
      </c>
      <c r="E95" t="s">
        <v>5</v>
      </c>
      <c r="I95">
        <f>SUM(60)</f>
        <v>60</v>
      </c>
      <c r="J95">
        <v>3</v>
      </c>
      <c r="K95">
        <v>3</v>
      </c>
    </row>
    <row r="96" spans="1:16">
      <c r="A96" s="1">
        <f>ERROR.TYPE($F$96)</f>
        <v>4</v>
      </c>
      <c r="B96" s="1">
        <v>4</v>
      </c>
      <c r="C96" s="1" t="b">
        <f t="shared" si="2"/>
        <v>1</v>
      </c>
      <c r="D96" s="17" t="str">
        <f ca="1">_xlfn.FORMULATEXT(F96)</f>
        <v>=J93#</v>
      </c>
      <c r="F96" s="1" t="e" cm="1">
        <f t="array" ref="F96">_xlfn.ANCHORARRAY(J93)</f>
        <v>#REF!</v>
      </c>
    </row>
    <row r="97" spans="1:9">
      <c r="A97" s="1">
        <f>ERROR.TYPE($F$97)</f>
        <v>4</v>
      </c>
      <c r="B97" s="1">
        <v>4</v>
      </c>
      <c r="C97" s="1" t="b">
        <f t="shared" si="2"/>
        <v>1</v>
      </c>
      <c r="D97" s="17" t="str">
        <f ca="1">_xlfn.FORMULATEXT(F97)</f>
        <v>=J94#</v>
      </c>
      <c r="F97" s="1" t="e" cm="1">
        <f t="array" ref="F97">_xlfn.ANCHORARRAY(J94)</f>
        <v>#REF!</v>
      </c>
    </row>
    <row r="98" spans="1:9">
      <c r="A98" s="1">
        <f>ERROR.TYPE($F$98)</f>
        <v>4</v>
      </c>
      <c r="B98" s="1">
        <v>4</v>
      </c>
      <c r="C98" s="1" t="b">
        <f t="shared" si="2"/>
        <v>1</v>
      </c>
      <c r="D98" s="17" t="str">
        <f ca="1">_xlfn.FORMULATEXT(F98)</f>
        <v>=J95#</v>
      </c>
      <c r="F98" s="1" t="e" cm="1">
        <f t="array" ref="F98">_xlfn.ANCHORARRAY(J95)</f>
        <v>#REF!</v>
      </c>
    </row>
    <row r="99" spans="1:9">
      <c r="A99" s="2" cm="1">
        <f t="array" ref="A99:A101">_xlfn.ANCHORARRAY(K93)</f>
        <v>1</v>
      </c>
      <c r="B99" s="2">
        <v>1</v>
      </c>
      <c r="C99" s="2" t="b">
        <f t="shared" si="2"/>
        <v>1</v>
      </c>
      <c r="D99" s="18" t="str">
        <f ca="1">_xlfn.FORMULATEXT(A99)</f>
        <v>=K93#</v>
      </c>
    </row>
    <row r="100" spans="1:9">
      <c r="A100" s="2">
        <v>2</v>
      </c>
      <c r="B100" s="2">
        <v>2</v>
      </c>
      <c r="C100" s="2" t="b">
        <f t="shared" si="2"/>
        <v>1</v>
      </c>
      <c r="D100" s="18"/>
    </row>
    <row r="101" spans="1:9">
      <c r="A101" s="2">
        <v>3</v>
      </c>
      <c r="B101" s="2">
        <v>3</v>
      </c>
      <c r="C101" s="2" t="b">
        <f t="shared" si="2"/>
        <v>1</v>
      </c>
      <c r="D101" s="18"/>
    </row>
    <row r="102" spans="1:9">
      <c r="A102" s="3">
        <f>ERROR.TYPE($F$102)</f>
        <v>4</v>
      </c>
      <c r="B102" s="3">
        <v>4</v>
      </c>
      <c r="C102" s="3" t="b">
        <f t="shared" si="2"/>
        <v>1</v>
      </c>
      <c r="D102" s="19" t="str">
        <f ca="1">_xlfn.FORMULATEXT(F102)</f>
        <v>=K94#</v>
      </c>
      <c r="F102" s="3" t="e" cm="1">
        <f t="array" ref="F102">_xlfn.ANCHORARRAY(K94)</f>
        <v>#REF!</v>
      </c>
    </row>
    <row r="103" spans="1:9">
      <c r="A103" s="4">
        <f>ERROR.TYPE($F$103)</f>
        <v>4</v>
      </c>
      <c r="B103" s="4">
        <v>4</v>
      </c>
      <c r="C103" s="4" t="b">
        <f t="shared" si="2"/>
        <v>1</v>
      </c>
      <c r="D103" s="20" t="str">
        <f ca="1">_xlfn.FORMULATEXT(F103)</f>
        <v>=K95#</v>
      </c>
      <c r="F103" s="4" t="e" cm="1">
        <f t="array" ref="F103">_xlfn.ANCHORARRAY(K95)</f>
        <v>#REF!</v>
      </c>
    </row>
    <row r="104" spans="1:9">
      <c r="A104" s="5">
        <f>ERROR.TYPE($F$104)</f>
        <v>4</v>
      </c>
      <c r="B104" s="5">
        <v>4</v>
      </c>
      <c r="C104" s="5" t="b">
        <f t="shared" si="2"/>
        <v>1</v>
      </c>
      <c r="D104" s="21" t="str">
        <f ca="1">_xlfn.FORMULATEXT(F104)</f>
        <v>=F93# + 10</v>
      </c>
      <c r="F104" s="5" t="e" cm="1">
        <f t="array" ref="F104">_xlfn.ANCHORARRAY(F93) + 10</f>
        <v>#REF!</v>
      </c>
    </row>
    <row r="105" spans="1:9">
      <c r="A105" s="6">
        <f>ERROR.TYPE(F105)</f>
        <v>4</v>
      </c>
      <c r="B105" s="6">
        <v>4</v>
      </c>
      <c r="C105" s="6" t="b">
        <f t="shared" si="2"/>
        <v>1</v>
      </c>
      <c r="D105" s="22" t="str">
        <f ca="1">_xlfn.FORMULATEXT(F105)</f>
        <v>=K93# + F104#</v>
      </c>
      <c r="F105" s="6" t="e" cm="1">
        <f t="array" ref="F105:F107">_xlfn.ANCHORARRAY(K93) +_xlfn.ANCHORARRAY( F104)</f>
        <v>#REF!</v>
      </c>
    </row>
    <row r="106" spans="1:9">
      <c r="A106" s="6">
        <f>ERROR.TYPE(F106)</f>
        <v>4</v>
      </c>
      <c r="B106" s="6">
        <v>4</v>
      </c>
      <c r="C106" s="6" t="b">
        <f t="shared" si="2"/>
        <v>1</v>
      </c>
      <c r="D106" s="22"/>
      <c r="F106" s="6" t="e">
        <v>#REF!</v>
      </c>
    </row>
    <row r="107" spans="1:9">
      <c r="A107" s="6">
        <f>ERROR.TYPE(F107)</f>
        <v>4</v>
      </c>
      <c r="B107" s="6">
        <v>4</v>
      </c>
      <c r="C107" s="6" t="b">
        <f t="shared" si="2"/>
        <v>1</v>
      </c>
      <c r="D107" s="22"/>
      <c r="F107" s="6" t="e">
        <v>#REF!</v>
      </c>
    </row>
    <row r="108" spans="1:9">
      <c r="A108" s="1">
        <f>ERROR.TYPE($F$108)</f>
        <v>4</v>
      </c>
      <c r="B108" s="1">
        <v>4</v>
      </c>
      <c r="C108" s="1" t="b">
        <f t="shared" si="2"/>
        <v>1</v>
      </c>
      <c r="D108" s="17" t="str">
        <f ca="1">_xlfn.FORMULATEXT(F108)</f>
        <v>=TRANSPOSE(TRANSPOSE(J93#))</v>
      </c>
      <c r="F108" s="1" t="e" cm="1">
        <f t="array" ref="F108">TRANSPOSE(TRANSPOSE(_xlfn.ANCHORARRAY(J93)))</f>
        <v>#REF!</v>
      </c>
    </row>
    <row r="109" spans="1:9">
      <c r="A109" s="2">
        <f>ERROR.TYPE($F$109)</f>
        <v>4</v>
      </c>
      <c r="B109" s="2">
        <v>4</v>
      </c>
      <c r="C109" s="2" t="b">
        <f t="shared" si="2"/>
        <v>1</v>
      </c>
      <c r="D109" s="18" t="str">
        <f ca="1">_xlfn.FORMULATEXT(F109)</f>
        <v>=TRANSPOSE(TRANSPOSE(F93#))</v>
      </c>
      <c r="F109" s="2" t="e" cm="1">
        <f t="array" ref="F109">TRANSPOSE(TRANSPOSE(_xlfn.ANCHORARRAY(F93)))</f>
        <v>#REF!</v>
      </c>
    </row>
    <row r="110" spans="1:9">
      <c r="A110" s="3">
        <f>$G$112</f>
        <v>2</v>
      </c>
      <c r="B110" s="3">
        <v>2</v>
      </c>
      <c r="C110" s="3" t="b">
        <f t="shared" si="2"/>
        <v>1</v>
      </c>
      <c r="D110" s="19" t="str">
        <f ca="1">_xlfn.FORMULATEXT(G112)</f>
        <v>=G111#</v>
      </c>
      <c r="F110" s="9" t="s">
        <v>24</v>
      </c>
    </row>
    <row r="111" spans="1:9">
      <c r="A111" s="3">
        <f>$H$112</f>
        <v>4</v>
      </c>
      <c r="B111" s="3">
        <v>4</v>
      </c>
      <c r="C111" s="3" t="b">
        <f t="shared" si="2"/>
        <v>1</v>
      </c>
      <c r="D111" s="19"/>
      <c r="F111" s="37" t="str">
        <f ca="1">_xlfn.FORMULATEXT(G111)</f>
        <v>=TRANSPOSE(F5:F7)</v>
      </c>
      <c r="G111" s="37" cm="1">
        <f t="array" ref="G111:I111">TRANSPOSE(F5:F7)</f>
        <v>2</v>
      </c>
      <c r="H111" s="37">
        <v>4</v>
      </c>
      <c r="I111" s="37">
        <v>7</v>
      </c>
    </row>
    <row r="112" spans="1:9">
      <c r="A112" s="3">
        <f>$I$112</f>
        <v>7</v>
      </c>
      <c r="B112" s="3">
        <v>7</v>
      </c>
      <c r="C112" s="3" t="b">
        <f t="shared" si="2"/>
        <v>1</v>
      </c>
      <c r="D112" s="19"/>
      <c r="F112" s="3" t="str">
        <f ca="1">_xlfn.FORMULATEXT(G112)</f>
        <v>=G111#</v>
      </c>
      <c r="G112" s="3" cm="1">
        <f t="array" ref="G112:I112">_xlfn.ANCHORARRAY(G111)</f>
        <v>2</v>
      </c>
      <c r="H112" s="3">
        <v>4</v>
      </c>
      <c r="I112" s="3">
        <v>7</v>
      </c>
    </row>
    <row r="113" spans="1:9">
      <c r="A113" s="4">
        <f>$G$113</f>
        <v>2</v>
      </c>
      <c r="B113" s="4">
        <v>2</v>
      </c>
      <c r="C113" s="4" t="b">
        <f t="shared" si="2"/>
        <v>1</v>
      </c>
      <c r="D113" s="20" t="str">
        <f ca="1">_xlfn.FORMULATEXT(G113)</f>
        <v>=LET(x,G111#,x)</v>
      </c>
      <c r="F113" s="4" t="str">
        <f ca="1">_xlfn.FORMULATEXT(G113)</f>
        <v>=LET(x,G111#,x)</v>
      </c>
      <c r="G113" s="4" cm="1">
        <f t="array" ref="G113:I113">_xlfn.LET(_xlpm.x,_xlfn.ANCHORARRAY(G111),_xlpm.x)</f>
        <v>2</v>
      </c>
      <c r="H113" s="4">
        <v>4</v>
      </c>
      <c r="I113" s="4">
        <v>7</v>
      </c>
    </row>
    <row r="114" spans="1:9">
      <c r="A114" s="4">
        <f>$H$113</f>
        <v>4</v>
      </c>
      <c r="B114" s="4">
        <v>4</v>
      </c>
      <c r="C114" s="4" t="b">
        <f t="shared" si="2"/>
        <v>1</v>
      </c>
      <c r="D114" s="20"/>
    </row>
    <row r="115" spans="1:9">
      <c r="A115" s="4">
        <f>$I$113</f>
        <v>7</v>
      </c>
      <c r="B115" s="4">
        <v>7</v>
      </c>
      <c r="C115" s="4" t="b">
        <f t="shared" si="2"/>
        <v>1</v>
      </c>
      <c r="D115" s="20"/>
    </row>
  </sheetData>
  <mergeCells count="1">
    <mergeCell ref="A1:D1"/>
  </mergeCells>
  <conditionalFormatting sqref="A3">
    <cfRule type="cellIs" dxfId="0" priority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2026-06-19T10:01:19Z</dcterms:created>
  <dcterms:modified xsi:type="dcterms:W3CDTF">2026-07-06T20:40:20Z</dcterms:modified>
  <cp:category/>
  <cp:contentStatus/>
</cp:coreProperties>
</file>