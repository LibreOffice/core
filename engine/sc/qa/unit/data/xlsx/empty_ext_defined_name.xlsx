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53222"/>
  <mc:AlternateContent xmlns:mc="http://schemas.openxmlformats.org/markup-compatibility/2006">
    <mc:Choice Requires="x15">
      <x15ac:absPath xmlns:x15ac="http://schemas.microsoft.com/office/spreadsheetml/2010/11/ac" url="C:\Users\lihaw\Desktop\"/>
    </mc:Choice>
  </mc:AlternateContent>
  <bookViews>
    <workbookView xWindow="0" yWindow="0" windowWidth="24000" windowHeight="9600"/>
  </bookViews>
  <sheets>
    <sheet name="2er-Schichtplanung" sheetId="4" r:id="rId1"/>
  </sheets>
  <externalReferences>
    <externalReference r:id="rId4"/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4" l="1"/>
  <c r="B9" i="4"/>
  <c r="C9" i="4"/>
  <c r="D9" i="4"/>
  <c r="A10" i="4"/>
  <c r="B10" i="4"/>
  <c r="C10" i="4"/>
  <c r="D10" i="4"/>
  <c r="A11" i="4"/>
  <c r="B11" i="4"/>
  <c r="C11" i="4"/>
  <c r="D11" i="4"/>
  <c r="A8" i="4" l="1"/>
  <c r="B8" i="4"/>
  <c r="I8" i="4"/>
  <c r="D8" i="4"/>
  <c r="C8" i="4"/>
  <c r="B4" i="4" l="1"/>
  <c r="I11" i="4"/>
  <c r="B303" i="3" l="1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3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2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3001" i="3"/>
  <c r="I9" i="4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302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" i="3"/>
  <c r="I10" i="4" l="1"/>
  <c r="J8" i="4"/>
  <c r="F9" i="4" s="1"/>
  <c r="J9" i="4" s="1"/>
  <c r="F10" i="4" s="1"/>
  <c r="J10" i="4" l="1"/>
  <c r="F11" i="4" s="1"/>
  <c r="J11" i="4" s="1"/>
</calcChain>
</file>

<file path=xl/sharedStrings.xml><?xml version="1.0" encoding="utf-8"?>
<sst xmlns="http://schemas.openxmlformats.org/spreadsheetml/2006/main" count="168" uniqueCount="78">
  <si>
    <t>KW</t>
  </si>
  <si>
    <t>Terminierter Start</t>
  </si>
  <si>
    <t>Auftrag</t>
  </si>
  <si>
    <t>Startzeit</t>
  </si>
  <si>
    <t>Endzeit</t>
  </si>
  <si>
    <t>Produktionzeit</t>
  </si>
  <si>
    <t>bis</t>
  </si>
  <si>
    <t>Losgrösse</t>
  </si>
  <si>
    <t>ME</t>
  </si>
  <si>
    <t>ST</t>
  </si>
  <si>
    <t>0 - 800</t>
  </si>
  <si>
    <t>Anzahl Spritzen</t>
  </si>
  <si>
    <t>Taktzeit</t>
  </si>
  <si>
    <t>Prio</t>
  </si>
  <si>
    <t>Charge</t>
  </si>
  <si>
    <t/>
  </si>
  <si>
    <t>W01463</t>
  </si>
  <si>
    <t>FREI FMAT VOKL ABRV CHPF CHZG</t>
  </si>
  <si>
    <t>W03478</t>
  </si>
  <si>
    <t>FREI VOKL ABRV CHPF CHZG MABS</t>
  </si>
  <si>
    <t>W02295</t>
  </si>
  <si>
    <t>W03479</t>
  </si>
  <si>
    <t>W03480</t>
  </si>
  <si>
    <t>W03481</t>
  </si>
  <si>
    <t>W02776</t>
  </si>
  <si>
    <t>KG</t>
  </si>
  <si>
    <t>W03487</t>
  </si>
  <si>
    <t>W03488</t>
  </si>
  <si>
    <t>W03732</t>
  </si>
  <si>
    <t>W03733</t>
  </si>
  <si>
    <t>W03973</t>
  </si>
  <si>
    <t>W03043</t>
  </si>
  <si>
    <t>W04200</t>
  </si>
  <si>
    <t>W04255</t>
  </si>
  <si>
    <t>W04678</t>
  </si>
  <si>
    <t>W04201</t>
  </si>
  <si>
    <t>W04209</t>
  </si>
  <si>
    <t>W04256</t>
  </si>
  <si>
    <t>W03172</t>
  </si>
  <si>
    <t>W04945</t>
  </si>
  <si>
    <t>W03174</t>
  </si>
  <si>
    <t>Teile NR.</t>
  </si>
  <si>
    <t>Bezeichnung</t>
  </si>
  <si>
    <t>Muster 1</t>
  </si>
  <si>
    <t>Muster 2</t>
  </si>
  <si>
    <t>Muster 3</t>
  </si>
  <si>
    <t>Muster 4</t>
  </si>
  <si>
    <t>Muster 5</t>
  </si>
  <si>
    <t>Muster 6</t>
  </si>
  <si>
    <t>Muster 7</t>
  </si>
  <si>
    <t>Muster 8</t>
  </si>
  <si>
    <t>Muster 9</t>
  </si>
  <si>
    <t>Muster 10</t>
  </si>
  <si>
    <t>Muster 11</t>
  </si>
  <si>
    <t>Muster 12</t>
  </si>
  <si>
    <t>Bezeichnung 1</t>
  </si>
  <si>
    <t>Bezeichnung 2</t>
  </si>
  <si>
    <t>Bezeichnung 3</t>
  </si>
  <si>
    <t>Bezeichnung 4</t>
  </si>
  <si>
    <t>Bezeichnung 5</t>
  </si>
  <si>
    <t>Bezeichnung 6</t>
  </si>
  <si>
    <t>Bezeichnung 7</t>
  </si>
  <si>
    <t>Bezeichnung 8</t>
  </si>
  <si>
    <t>Bezeichnung 9</t>
  </si>
  <si>
    <t>Bezeichnung 10</t>
  </si>
  <si>
    <t>Bezeichnung 11</t>
  </si>
  <si>
    <t>Bezeichnung 12</t>
  </si>
  <si>
    <t>Bezeichnung 13</t>
  </si>
  <si>
    <t>Bezeichnung 14</t>
  </si>
  <si>
    <t>Bezeichnung 15</t>
  </si>
  <si>
    <t>Bezeichnung 16</t>
  </si>
  <si>
    <t>Bezeichnung 17</t>
  </si>
  <si>
    <t>Bezeichnung 18</t>
  </si>
  <si>
    <t>Bezeichnung 19</t>
  </si>
  <si>
    <t>Bezeichnung 20</t>
  </si>
  <si>
    <t>Bezeichnung 21</t>
  </si>
  <si>
    <t>Bezeichnung 22</t>
  </si>
  <si>
    <t>AUZ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</si>
</sst>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6" formatCode="#,##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C7254E"/>
      <name val="Consolas"/>
      <family val="3"/>
    </font>
    <font>
      <b/>
      <i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C7254E"/>
      <name val="Consolas"/>
      <family val="3"/>
    </font>
    <font>
      <b/>
      <sz val="11"/>
      <color rgb="FF20292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37">
    <xf numFmtId="0" fontId="0" fillId="0" borderId="0" xfId="0"/>
    <xf numFmtId="0" fontId="5" fillId="0" borderId="0" xfId="0" applyFont="1"/>
    <xf numFmtId="14" fontId="0" fillId="0" borderId="0" xfId="0" applyNumberFormat="1"/>
    <xf numFmtId="0" fontId="0" fillId="0" borderId="2" xfId="0" applyBorder="1"/>
    <xf numFmtId="0" fontId="0" fillId="0" borderId="0" xfId="0" applyAlignment="1">
      <alignment horizontal="center"/>
    </xf>
    <xf numFmtId="21" fontId="0" fillId="0" borderId="0" xfId="0" applyNumberFormat="1"/>
    <xf numFmtId="21" fontId="0" fillId="0" borderId="2" xfId="0" applyNumberFormat="1" applyBorder="1"/>
    <xf numFmtId="0" fontId="2" fillId="2" borderId="2" xfId="1" applyBorder="1"/>
    <xf numFmtId="21" fontId="2" fillId="2" borderId="2" xfId="1" applyNumberFormat="1" applyBorder="1"/>
    <xf numFmtId="21" fontId="0" fillId="0" borderId="2" xfId="0" applyNumberFormat="1" applyBorder="1" applyAlignment="1">
      <alignment horizontal="center"/>
    </xf>
    <xf numFmtId="21" fontId="2" fillId="6" borderId="2" xfId="1" applyNumberFormat="1" applyFill="1" applyBorder="1"/>
    <xf numFmtId="0" fontId="3" fillId="3" borderId="0" xfId="2" applyBorder="1" applyAlignment="1">
      <alignment horizontal="center"/>
    </xf>
    <xf numFmtId="0" fontId="4" fillId="8" borderId="3" xfId="0" applyFont="1" applyFill="1" applyBorder="1"/>
    <xf numFmtId="20" fontId="0" fillId="8" borderId="3" xfId="0" applyNumberFormat="1" applyFill="1" applyBorder="1"/>
    <xf numFmtId="0" fontId="0" fillId="8" borderId="3" xfId="0" applyFill="1" applyBorder="1"/>
    <xf numFmtId="164" fontId="0" fillId="8" borderId="3" xfId="0" applyNumberFormat="1" applyFill="1" applyBorder="1"/>
    <xf numFmtId="20" fontId="0" fillId="5" borderId="3" xfId="0" applyNumberFormat="1" applyFill="1" applyBorder="1"/>
    <xf numFmtId="0" fontId="0" fillId="5" borderId="3" xfId="0" applyFill="1" applyBorder="1"/>
    <xf numFmtId="0" fontId="6" fillId="7" borderId="4" xfId="3" applyFont="1" applyFill="1" applyBorder="1" applyAlignment="1"/>
    <xf numFmtId="0" fontId="6" fillId="7" borderId="5" xfId="3" applyFont="1" applyFill="1" applyBorder="1" applyAlignment="1"/>
    <xf numFmtId="14" fontId="6" fillId="7" borderId="4" xfId="3" applyNumberFormat="1" applyFont="1" applyFill="1" applyBorder="1" applyAlignment="1"/>
    <xf numFmtId="14" fontId="4" fillId="0" borderId="2" xfId="0" applyNumberFormat="1" applyFont="1" applyBorder="1"/>
    <xf numFmtId="0" fontId="4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9" fillId="0" borderId="0" xfId="0" applyFont="1"/>
    <xf numFmtId="0" fontId="0" fillId="0" borderId="2" xfId="0" applyFill="1" applyBorder="1"/>
    <xf numFmtId="49" fontId="0" fillId="0" borderId="2" xfId="0" applyNumberFormat="1" applyFill="1" applyBorder="1"/>
    <xf numFmtId="0" fontId="0" fillId="0" borderId="2" xfId="0" applyNumberFormat="1" applyFill="1" applyBorder="1"/>
    <xf numFmtId="14" fontId="0" fillId="0" borderId="2" xfId="0" applyNumberFormat="1" applyFill="1" applyBorder="1"/>
    <xf numFmtId="166" fontId="0" fillId="0" borderId="2" xfId="0" applyNumberFormat="1" applyFill="1" applyBorder="1"/>
    <xf numFmtId="14" fontId="0" fillId="0" borderId="3" xfId="0" applyNumberFormat="1" applyFill="1" applyBorder="1"/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3" xfId="0" applyNumberFormat="1" applyFill="1" applyBorder="1"/>
    <xf numFmtId="0" fontId="7" fillId="0" borderId="0" xfId="0" applyFont="1" applyAlignment="1">
      <alignment horizontal="center"/>
    </xf>
    <xf numFmtId="0" fontId="3" fillId="3" borderId="0" xfId="2" applyBorder="1" applyAlignment="1">
      <alignment horizontal="center"/>
    </xf>
  </cellXfs>
  <cellStyles count="4">
    <cellStyle name="40 % - Akzent6" xfId="3" builtinId="51"/>
    <cellStyle name="Berechnung" xfId="2" builtinId="22"/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8" Type="http://schemas.openxmlformats.org/officeDocument/2006/relationships/calcChain" Target="calcChain.xml"/>
  <Relationship Id="rId7" Type="http://schemas.openxmlformats.org/officeDocument/2006/relationships/sharedStrings" Target="sharedStrings.xml"/>
  <Relationship Id="rId1" Type="http://schemas.openxmlformats.org/officeDocument/2006/relationships/worksheet" Target="worksheets/sheet1.xml"/>
  <Relationship Id="rId6" Type="http://schemas.openxmlformats.org/officeDocument/2006/relationships/styles" Target="styles.xml"/>
  <Relationship Id="rId5" Type="http://schemas.openxmlformats.org/officeDocument/2006/relationships/theme" Target="theme/theme1.xml"/>
  <Relationship Id="rId4" Type="http://schemas.openxmlformats.org/officeDocument/2006/relationships/externalLink" Target="externalLinks/externalLink1.xml"/>
  <Relationship Id="rId9" Type="http://schemas.openxmlformats.org/officeDocument/2006/relationships/externalLink" Target="externalLinks/externalLink2.xml"/>
</Relationships>

</file>

<file path=xl/externalLinks/_rels/externalLink1.xml.rels><?xml version="1.0" encoding="UTF-8" standalone="yes"?>
<Relationships xmlns="http://schemas.openxmlformats.org/package/2006/relationships">
  <Relationship Id="rId1" Type="http://schemas.microsoft.com/office/2006/relationships/xlExternalLinkPath/xlPathMissing" Target="Tabelle1" TargetMode="External"/>
</Relationships>

</file>

<file path=xl/externalLinks/_rels/externalLink2.xml.rels><?xml version="1.0" encoding="UTF-8" standalone="yes"?>
<Relationships xmlns="http://schemas.openxmlformats.org/package/2006/relationships">
  <Relationship Id="rId1" Type="http://schemas.openxmlformats.org/officeDocument/2006/relationships/externalLinkPath" Target="file:///D:/%06personal.xlsx" TargetMode="External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</sheetNames>
    <definedNames>
      <definedName name="SplitsItems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al"/>
    </sheetNames>
    <definedNames>
      <definedName name="HelloWorld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J11"/>
  <sheetViews>
    <sheetView tabSelected="1" zoomScale="150" zoomScaleNormal="150" workbookViewId="0">
      <pane ySplit="5" topLeftCell="A6" activePane="bottomLeft" state="frozen"/>
      <selection pane="bottomLeft" activeCell="E9" sqref="E9"/>
    </sheetView>
  </sheetViews>
  <sheetFormatPr baseColWidth="10" defaultRowHeight="15" x14ac:dyDescent="0.25"/>
  <cols>
    <col min="1" max="1" width="17" bestFit="1" customWidth="1"/>
    <col min="5" max="5" width="36" bestFit="1" customWidth="1"/>
    <col min="7" max="7" width="9.5703125" bestFit="1" customWidth="1"/>
    <col min="8" max="8" width="3.85546875" bestFit="1" customWidth="1"/>
    <col min="9" max="9" width="14.140625" bestFit="1" customWidth="1"/>
    <col min="10" max="10" width="8.85546875" bestFit="1" customWidth="1"/>
  </cols>
  <sheetData>
    <row r="1" spans="1:10" ht="23.25" x14ac:dyDescent="0.35">
      <c r="A1" s="35"/>
      <c r="B1" s="35"/>
      <c r="C1" s="35"/>
      <c r="D1" s="35"/>
      <c r="E1" s="35"/>
      <c r="F1" s="35"/>
      <c r="G1" s="35"/>
      <c r="H1" s="35"/>
      <c r="I1" s="35"/>
      <c r="J1" s="35"/>
    </row>
    <row r="2" spans="1:10" ht="15.75" x14ac:dyDescent="0.25">
      <c r="A2" s="2"/>
      <c r="B2" s="1"/>
      <c r="C2" s="1"/>
      <c r="D2" s="1"/>
      <c r="E2" s="1"/>
      <c r="F2" s="1"/>
      <c r="G2" s="1"/>
    </row>
    <row r="3" spans="1:10" ht="15.75" x14ac:dyDescent="0.25">
      <c r="A3" s="21" t="s">
        <v>6</v>
      </c>
      <c r="B3" s="22" t="s">
        <f ca="1">[2]!HelloWorld</f>
        <v>0</v>
      </c>
      <c r="C3" s="32"/>
      <c r="D3" s="32"/>
      <c r="E3" s="32"/>
      <c r="G3" s="1"/>
    </row>
    <row r="4" spans="1:10" ht="15.75" x14ac:dyDescent="0.25">
      <c r="A4" s="23">
        <v>42769</v>
      </c>
      <c r="B4" s="24">
        <f ca="1">TRIM([1]!SplitsItems($A1,",",COLUMN()-1))</f>
        <v>5</v>
      </c>
      <c r="C4" s="33"/>
      <c r="D4" s="33"/>
      <c r="E4" s="33"/>
      <c r="F4" s="36"/>
      <c r="G4" s="36"/>
      <c r="H4" s="36"/>
      <c r="I4" s="11"/>
    </row>
    <row r="6" spans="1:10" ht="25.5" customHeight="1" x14ac:dyDescent="0.25">
      <c r="A6" s="25"/>
      <c r="B6" s="20"/>
      <c r="C6" s="20"/>
      <c r="D6" s="20"/>
      <c r="E6" s="20"/>
      <c r="F6" s="18"/>
      <c r="G6" s="18"/>
      <c r="H6" s="18"/>
      <c r="I6" s="18"/>
      <c r="J6" s="19"/>
    </row>
    <row r="7" spans="1:10" x14ac:dyDescent="0.25">
      <c r="A7" s="12" t="s">
        <v>1</v>
      </c>
      <c r="B7" s="12" t="s">
        <v>2</v>
      </c>
      <c r="C7" s="12" t="s">
        <v>14</v>
      </c>
      <c r="D7" s="12" t="s">
        <v>41</v>
      </c>
      <c r="E7" s="12" t="s">
        <v>42</v>
      </c>
      <c r="F7" s="12" t="s">
        <v>3</v>
      </c>
      <c r="G7" s="12" t="s">
        <v>7</v>
      </c>
      <c r="H7" s="12" t="s">
        <v>8</v>
      </c>
      <c r="I7" s="12" t="s">
        <v>5</v>
      </c>
      <c r="J7" s="12" t="s">
        <v>4</v>
      </c>
    </row>
    <row r="8" spans="1:10" x14ac:dyDescent="0.25">
      <c r="A8" s="34">
        <f>IF(ISNA(VLOOKUP(E8,Auftragsdaten!A1:M23,10,0)),0,VLOOKUP(E8,Auftragsdaten!A1:M23,10,0))</f>
        <v>0</v>
      </c>
      <c r="B8" s="34">
        <f>IF(ISNA(VLOOKUP(E8,Auftragsdaten!A1:M23,2,0)),0,VLOOKUP(E8,Auftragsdaten!A1:M23,2,0))</f>
        <v>0</v>
      </c>
      <c r="C8" s="34">
        <f>IF(ISNA(VLOOKUP(E8,Auftragsdaten!A1:M23,4,0)),0,VLOOKUP(E8,Auftragsdaten!A1:M23,4,0))</f>
        <v>0</v>
      </c>
      <c r="D8" s="34">
        <f>IF(ISNA(VLOOKUP(E8,Auftragsdaten!A1:M23,4,0)),0,VLOOKUP(E8,Auftragsdaten!A1:M23,4,0))</f>
        <v>0</v>
      </c>
      <c r="E8" s="31" t="s">
        <v>55</v>
      </c>
      <c r="F8" s="16">
        <v>0.27083333333333331</v>
      </c>
      <c r="G8" s="17"/>
      <c r="H8" s="14" t="s">
        <v>9</v>
      </c>
      <c r="I8" s="13">
        <f>IF(ISNA(VLOOKUP(G8,'Zeit pro Spritze'!$A$2:$B$4001,2,0)),0,VLOOKUP(G8,'Zeit pro Spritze'!$A$2:$B$4001,2,0))</f>
        <v>0</v>
      </c>
      <c r="J8" s="15">
        <f t="shared" ref="J8:J11" si="0">F8+I8</f>
        <v>0.27083333333333331</v>
      </c>
    </row>
    <row r="9" spans="1:10" x14ac:dyDescent="0.25">
      <c r="A9" s="34">
        <f>IF(ISNA(VLOOKUP(E9,Auftragsdaten!A2:M24,10,0)),0,VLOOKUP(E9,Auftragsdaten!A2:M24,10,0))</f>
        <v>0</v>
      </c>
      <c r="B9" s="34">
        <f>IF(ISNA(VLOOKUP(E9,Auftragsdaten!A2:M24,2,0)),0,VLOOKUP(E9,Auftragsdaten!A2:M24,2,0))</f>
        <v>0</v>
      </c>
      <c r="C9" s="34">
        <f>IF(ISNA(VLOOKUP(E9,Auftragsdaten!A2:M24,4,0)),0,VLOOKUP(E9,Auftragsdaten!A2:M24,4,0))</f>
        <v>0</v>
      </c>
      <c r="D9" s="34">
        <f>IF(ISNA(VLOOKUP(E9,Auftragsdaten!A2:M24,4,0)),0,VLOOKUP(E9,Auftragsdaten!A2:M24,4,0))</f>
        <v>0</v>
      </c>
      <c r="E9" s="31" t="s">
        <v>56</v>
      </c>
      <c r="F9" s="13">
        <f>J8</f>
        <v>0.27083333333333331</v>
      </c>
      <c r="G9" s="17"/>
      <c r="H9" s="14" t="s">
        <v>9</v>
      </c>
      <c r="I9" s="13">
        <f>IF(ISNA(VLOOKUP(G9,'Zeit pro Spritze'!$A$2:$B$4001,2,0)),0,VLOOKUP(G9,'Zeit pro Spritze'!$A$2:$B$4001,2,0))</f>
        <v>0</v>
      </c>
      <c r="J9" s="15">
        <f t="shared" si="0"/>
        <v>0.27083333333333331</v>
      </c>
    </row>
    <row r="10" spans="1:10" x14ac:dyDescent="0.25">
      <c r="A10" s="34">
        <f>IF(ISNA(VLOOKUP(E10,Auftragsdaten!A3:M25,10,0)),0,VLOOKUP(E10,Auftragsdaten!A3:M25,10,0))</f>
        <v>0</v>
      </c>
      <c r="B10" s="34">
        <f>IF(ISNA(VLOOKUP(E10,Auftragsdaten!A3:M25,2,0)),0,VLOOKUP(E10,Auftragsdaten!A3:M25,2,0))</f>
        <v>0</v>
      </c>
      <c r="C10" s="34">
        <f>IF(ISNA(VLOOKUP(E10,Auftragsdaten!A3:M25,4,0)),0,VLOOKUP(E10,Auftragsdaten!A3:M25,4,0))</f>
        <v>0</v>
      </c>
      <c r="D10" s="34">
        <f>IF(ISNA(VLOOKUP(E10,Auftragsdaten!A3:M25,4,0)),0,VLOOKUP(E10,Auftragsdaten!A3:M25,4,0))</f>
        <v>0</v>
      </c>
      <c r="E10" s="31" t="s">
        <v>57</v>
      </c>
      <c r="F10" s="13">
        <f t="shared" ref="F10:F11" si="1">J9</f>
        <v>0.27083333333333331</v>
      </c>
      <c r="G10" s="17"/>
      <c r="H10" s="14" t="s">
        <v>9</v>
      </c>
      <c r="I10" s="13">
        <f>IF(ISNA(VLOOKUP(G10,'Zeit pro Spritze'!$A$2:$B$4001,2,0)),0,VLOOKUP(G10,'Zeit pro Spritze'!$A$2:$B$4001,2,0))</f>
        <v>0</v>
      </c>
      <c r="J10" s="15">
        <f t="shared" si="0"/>
        <v>0.27083333333333331</v>
      </c>
    </row>
    <row r="11" spans="1:10" x14ac:dyDescent="0.25">
      <c r="A11" s="34">
        <f>IF(ISNA(VLOOKUP(E11,Auftragsdaten!A4:M26,10,0)),0,VLOOKUP(E11,Auftragsdaten!A4:M26,10,0))</f>
        <v>0</v>
      </c>
      <c r="B11" s="34">
        <f>IF(ISNA(VLOOKUP(E11,Auftragsdaten!A4:M26,2,0)),0,VLOOKUP(E11,Auftragsdaten!A4:M26,2,0))</f>
        <v>0</v>
      </c>
      <c r="C11" s="34">
        <f>IF(ISNA(VLOOKUP(E11,Auftragsdaten!A4:M26,4,0)),0,VLOOKUP(E11,Auftragsdaten!A4:M26,4,0))</f>
        <v>0</v>
      </c>
      <c r="D11" s="34">
        <f>IF(ISNA(VLOOKUP(E11,Auftragsdaten!A4:M26,4,0)),0,VLOOKUP(E11,Auftragsdaten!A4:M26,4,0))</f>
        <v>0</v>
      </c>
      <c r="E11" s="31" t="s">
        <v>58</v>
      </c>
      <c r="F11" s="13">
        <f t="shared" si="1"/>
        <v>0.27083333333333331</v>
      </c>
      <c r="G11" s="17"/>
      <c r="H11" s="14" t="s">
        <v>9</v>
      </c>
      <c r="I11" s="13">
        <f>IF(ISNA(VLOOKUP(G11,'Zeit pro Spritze'!$A$2:$B$4001,2,0)),0,VLOOKUP(G11,'Zeit pro Spritze'!$A$2:$B$4001,2,0))</f>
        <v>0</v>
      </c>
      <c r="J11" s="15">
        <f t="shared" si="0"/>
        <v>0.27083333333333331</v>
      </c>
    </row>
  </sheetData>
  <mergeCells count="2">
    <mergeCell ref="A1:J1"/>
    <mergeCell ref="F4:H4"/>
  </mergeCell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>
          <x14:formula1>
            <xm:f>Auftragsdaten!$E$2:$E$123</xm:f>
          </x14:formula1>
          <xm:sqref>E8:E11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2er-Schichtplanung</vt:lpstr>
      <vt:lpstr>Auftragsdaten</vt:lpstr>
      <vt:lpstr>Zeit pro Spritze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</dc:creator>
  <cp:lastModifiedBy>Wolfram Hagen </cp:lastModifiedBy>
  <dcterms:created xsi:type="dcterms:W3CDTF">2017-01-28T05:43:46Z</dcterms:created>
  <dcterms:modified xsi:type="dcterms:W3CDTF">2017-01-30T08:00:37Z</dcterms:modified>
</cp:coreProperties>
</file>