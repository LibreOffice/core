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9"/>
  <workbookPr defaultThemeVersion="166925"/>
  <xr:revisionPtr revIDLastSave="0" documentId="8_{47FC375C-578E-4C91-9940-42CE21C19161}" xr6:coauthVersionLast="47" xr6:coauthVersionMax="47" xr10:uidLastSave="{00000000-0000-0000-0000-000000000000}"/>
  <bookViews>
    <workbookView xWindow="240" yWindow="105" windowWidth="14805" windowHeight="8010" firstSheet="3" activeTab="8" xr2:uid="{00000000-000D-0000-FFFF-FFFF00000000}"/>
  </bookViews>
  <sheets>
    <sheet name="Overview" sheetId="3" r:id="rId1"/>
    <sheet name="Function_Lambda" sheetId="1" r:id="rId2"/>
    <sheet name="Function_IsOmitted" sheetId="2" r:id="rId3"/>
    <sheet name="Function_ByCol" sheetId="4" r:id="rId4"/>
    <sheet name="Function_ByRow" sheetId="5" r:id="rId5"/>
    <sheet name="Function_MakeArray" sheetId="6" r:id="rId6"/>
    <sheet name="Function_Map" sheetId="7" r:id="rId7"/>
    <sheet name="Function_Reduce" sheetId="8" r:id="rId8"/>
    <sheet name="Function_Scan" sheetId="9" r:id="rId9"/>
  </sheets>
  <definedNames>
    <definedName name="APPLYTWICE">_xlfn.LAMBDA(_xlpm.f,_xlpm.x, _xlpm.f(_xlpm.f(_xlpm.x)))</definedName>
    <definedName name="DATARANGE">Function_Lambda!$F$2:$F$5</definedName>
    <definedName name="PLUS2">_xlfn.LAMBDA(_xlpm.x, _xlpm.x+2)</definedName>
    <definedName name="SUM">_xlfn.LAMBDA(_xlpm.x,_xlpm.x+10)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4" i="1" l="1" a="1"/>
  <c r="A14" i="1"/>
  <c r="D14" i="1"/>
  <c r="C14" i="1"/>
  <c r="C11" i="2"/>
  <c r="C10" i="2"/>
  <c r="C9" i="2"/>
  <c r="A9" i="4" a="1"/>
  <c r="A9" i="4"/>
  <c r="D28" i="1"/>
  <c r="A28" i="1" a="1"/>
  <c r="A28" i="1"/>
  <c r="C28" i="1" s="1"/>
  <c r="D27" i="1"/>
  <c r="A27" i="1" a="1"/>
  <c r="A27" i="1"/>
  <c r="C27" i="1" s="1"/>
  <c r="D30" i="1"/>
  <c r="A30" i="1" a="1"/>
  <c r="A30" i="1"/>
  <c r="C30" i="1" s="1"/>
  <c r="D29" i="1"/>
  <c r="A29" i="1" a="1"/>
  <c r="A29" i="1"/>
  <c r="C29" i="1" s="1"/>
  <c r="A6" i="1" a="1"/>
  <c r="A6" i="1"/>
  <c r="A8" i="1" a="1"/>
  <c r="A8" i="1"/>
  <c r="A7" i="1" a="1"/>
  <c r="A7" i="1"/>
  <c r="A12" i="1" a="1"/>
  <c r="A12" i="1"/>
  <c r="D11" i="2"/>
  <c r="A11" i="2"/>
  <c r="F11" i="2" a="1"/>
  <c r="F11" i="2"/>
  <c r="D37" i="1"/>
  <c r="A37" i="1" a="1"/>
  <c r="A37" i="1"/>
  <c r="C37" i="1" s="1"/>
  <c r="D36" i="1"/>
  <c r="A36" i="1" a="1"/>
  <c r="A36" i="1"/>
  <c r="C36" i="1" s="1"/>
  <c r="D10" i="2"/>
  <c r="A10" i="2" a="1"/>
  <c r="A10" i="2"/>
  <c r="D9" i="2"/>
  <c r="A9" i="2" a="1"/>
  <c r="A9" i="2"/>
  <c r="A39" i="1" a="1"/>
  <c r="A39" i="1"/>
  <c r="C39" i="1" s="1"/>
  <c r="A38" i="1" a="1"/>
  <c r="A38" i="1"/>
  <c r="C38" i="1" s="1"/>
  <c r="D39" i="1"/>
  <c r="D38" i="1"/>
  <c r="A22" i="1" a="1"/>
  <c r="A22" i="1"/>
  <c r="D23" i="1"/>
  <c r="A23" i="1" a="1"/>
  <c r="A23" i="1" s="1"/>
  <c r="D22" i="1"/>
  <c r="A21" i="1" a="1"/>
  <c r="A21" i="1"/>
  <c r="A16" i="1" a="1"/>
  <c r="A16" i="1"/>
  <c r="C16" i="1"/>
  <c r="A17" i="1" a="1"/>
  <c r="A17" i="1"/>
  <c r="C17" i="1" s="1"/>
  <c r="D3" i="1"/>
  <c r="A3" i="1" a="1"/>
  <c r="A3" i="1"/>
  <c r="C3" i="1" s="1"/>
  <c r="A35" i="1" a="1"/>
  <c r="A35" i="1"/>
  <c r="C13" i="6"/>
  <c r="C12" i="6"/>
  <c r="A12" i="6" a="1"/>
  <c r="A12" i="6"/>
  <c r="D12" i="6"/>
  <c r="D10" i="6"/>
  <c r="C11" i="6"/>
  <c r="C10" i="6"/>
  <c r="A10" i="6" a="1"/>
  <c r="A10" i="6"/>
  <c r="C9" i="6"/>
  <c r="A9" i="6"/>
  <c r="D18" i="7"/>
  <c r="F18" i="7" a="1"/>
  <c r="F18" i="7"/>
  <c r="A18" i="7" s="1"/>
  <c r="A17" i="7" a="1"/>
  <c r="A17" i="7"/>
  <c r="C18" i="7"/>
  <c r="C17" i="7"/>
  <c r="F7" i="2" a="1"/>
  <c r="F7" i="2"/>
  <c r="A7" i="2" s="1"/>
  <c r="C7" i="2" s="1"/>
  <c r="C35" i="1"/>
  <c r="D35" i="1"/>
  <c r="D34" i="1"/>
  <c r="D33" i="1"/>
  <c r="A33" i="1" a="1"/>
  <c r="A33" i="1"/>
  <c r="C33" i="1" s="1"/>
  <c r="A34" i="1" a="1"/>
  <c r="A34" i="1"/>
  <c r="C34" i="1" s="1"/>
  <c r="A10" i="8" a="1"/>
  <c r="A10" i="8"/>
  <c r="D9" i="9"/>
  <c r="A9" i="9" a="1"/>
  <c r="A9" i="9"/>
  <c r="C11" i="9"/>
  <c r="C10" i="9"/>
  <c r="C9" i="9"/>
  <c r="D13" i="5"/>
  <c r="C14" i="5"/>
  <c r="C13" i="5"/>
  <c r="A13" i="5" a="1"/>
  <c r="A13" i="5"/>
  <c r="D10" i="8"/>
  <c r="C10" i="8"/>
  <c r="D17" i="7"/>
  <c r="C14" i="4"/>
  <c r="C13" i="4"/>
  <c r="C12" i="4"/>
  <c r="D8" i="2"/>
  <c r="A8" i="2" a="1"/>
  <c r="A8" i="2"/>
  <c r="C8" i="2" s="1"/>
  <c r="D7" i="2"/>
  <c r="D14" i="7"/>
  <c r="A14" i="7" a="1"/>
  <c r="A14" i="7"/>
  <c r="C14" i="7" s="1"/>
  <c r="D32" i="1"/>
  <c r="D31" i="1"/>
  <c r="A32" i="1" a="1"/>
  <c r="A32" i="1"/>
  <c r="C32" i="1" s="1"/>
  <c r="A31" i="1" a="1"/>
  <c r="A31" i="1"/>
  <c r="C31" i="1" s="1"/>
  <c r="A14" i="4"/>
  <c r="A13" i="4"/>
  <c r="A12" i="4"/>
  <c r="F12" i="4" a="1"/>
  <c r="F12" i="4"/>
  <c r="C12" i="5"/>
  <c r="C11" i="5"/>
  <c r="C10" i="5"/>
  <c r="A10" i="5" a="1"/>
  <c r="A10" i="5"/>
  <c r="D12" i="4"/>
  <c r="D10" i="7"/>
  <c r="A10" i="7" a="1"/>
  <c r="A10" i="7"/>
  <c r="C10" i="7" s="1"/>
  <c r="A8" i="7" a="1"/>
  <c r="A8" i="7"/>
  <c r="A2" i="7" a="1"/>
  <c r="A2" i="7"/>
  <c r="A5" i="7" a="1"/>
  <c r="A5" i="7"/>
  <c r="D9" i="8"/>
  <c r="C9" i="8"/>
  <c r="A9" i="8" a="1"/>
  <c r="A9" i="8"/>
  <c r="D5" i="8"/>
  <c r="C5" i="8"/>
  <c r="A5" i="8" a="1"/>
  <c r="A5" i="8"/>
  <c r="D7" i="8"/>
  <c r="A7" i="8" a="1"/>
  <c r="A7" i="8"/>
  <c r="C7" i="8" s="1"/>
  <c r="A8" i="8" a="1"/>
  <c r="A8" i="8"/>
  <c r="D8" i="8"/>
  <c r="C8" i="8"/>
  <c r="D10" i="5"/>
  <c r="A7" i="5" a="1"/>
  <c r="A7" i="5"/>
  <c r="A6" i="5" a="1"/>
  <c r="A6" i="5"/>
  <c r="D4" i="1"/>
  <c r="D5" i="1"/>
  <c r="D6" i="1"/>
  <c r="D7" i="1"/>
  <c r="D8" i="1"/>
  <c r="D9" i="1"/>
  <c r="D10" i="1"/>
  <c r="D11" i="1"/>
  <c r="D12" i="1"/>
  <c r="D13" i="1"/>
  <c r="D15" i="1"/>
  <c r="D16" i="1"/>
  <c r="D17" i="1"/>
  <c r="D18" i="1"/>
  <c r="D19" i="1"/>
  <c r="D20" i="1"/>
  <c r="D21" i="1"/>
  <c r="D24" i="1"/>
  <c r="D25" i="1"/>
  <c r="D26" i="1"/>
  <c r="D2" i="1"/>
  <c r="D3" i="2"/>
  <c r="D4" i="2"/>
  <c r="D5" i="2"/>
  <c r="D6" i="2"/>
  <c r="D2" i="2"/>
  <c r="D3" i="4"/>
  <c r="D4" i="4"/>
  <c r="D7" i="4"/>
  <c r="D8" i="4"/>
  <c r="D9" i="4"/>
  <c r="D2" i="4"/>
  <c r="D3" i="5"/>
  <c r="D4" i="5"/>
  <c r="D6" i="5"/>
  <c r="D7" i="5"/>
  <c r="D8" i="5"/>
  <c r="D2" i="5"/>
  <c r="D9" i="6"/>
  <c r="D8" i="6"/>
  <c r="D2" i="6"/>
  <c r="D8" i="7"/>
  <c r="D5" i="7"/>
  <c r="D2" i="7"/>
  <c r="D3" i="8"/>
  <c r="D4" i="8"/>
  <c r="D6" i="8"/>
  <c r="D2" i="8"/>
  <c r="D6" i="9"/>
  <c r="D2" i="9"/>
  <c r="B13" i="3"/>
  <c r="F2" i="6" a="1"/>
  <c r="A2" i="9" a="1"/>
  <c r="A2" i="9"/>
  <c r="A6" i="9" a="1"/>
  <c r="A6" i="9"/>
  <c r="C8" i="9"/>
  <c r="C7" i="9"/>
  <c r="C6" i="9"/>
  <c r="C5" i="9"/>
  <c r="C4" i="9"/>
  <c r="C3" i="9"/>
  <c r="C2" i="9"/>
  <c r="A6" i="8" a="1"/>
  <c r="A6" i="8"/>
  <c r="C6" i="8" s="1"/>
  <c r="A4" i="8" a="1"/>
  <c r="A4" i="8"/>
  <c r="C4" i="8" s="1"/>
  <c r="A3" i="8" a="1"/>
  <c r="A3" i="8"/>
  <c r="C3" i="8" s="1"/>
  <c r="A2" i="8" a="1"/>
  <c r="A2" i="8"/>
  <c r="C9" i="7"/>
  <c r="C8" i="7"/>
  <c r="C5" i="7"/>
  <c r="C4" i="7"/>
  <c r="C3" i="7"/>
  <c r="C2" i="7"/>
  <c r="F9" i="6" a="1"/>
  <c r="F9" i="6"/>
  <c r="A8" i="6" a="1"/>
  <c r="A8" i="6"/>
  <c r="C8" i="6"/>
  <c r="A8" i="5" a="1"/>
  <c r="A8" i="5"/>
  <c r="A2" i="5"/>
  <c r="A3" i="5" a="1"/>
  <c r="A3" i="5"/>
  <c r="A4" i="5" a="1"/>
  <c r="A4" i="5"/>
  <c r="C7" i="5"/>
  <c r="C6" i="5"/>
  <c r="C3" i="5"/>
  <c r="C2" i="5"/>
  <c r="A4" i="4" a="1"/>
  <c r="A4" i="4"/>
  <c r="C6" i="4"/>
  <c r="C5" i="4"/>
  <c r="C4" i="4"/>
  <c r="C11" i="4"/>
  <c r="C10" i="4"/>
  <c r="C9" i="4"/>
  <c r="A8" i="4" a="1"/>
  <c r="A8" i="4"/>
  <c r="A7" i="4" a="1"/>
  <c r="A7" i="4"/>
  <c r="C8" i="4"/>
  <c r="C7" i="4"/>
  <c r="A3" i="4" a="1"/>
  <c r="A3" i="4" s="1"/>
  <c r="A2" i="4"/>
  <c r="C3" i="4"/>
  <c r="C2" i="4"/>
  <c r="A26" i="1"/>
  <c r="C26" i="1"/>
  <c r="A25" i="1" a="1"/>
  <c r="A25" i="1"/>
  <c r="C25" i="1"/>
  <c r="A6" i="2" a="1"/>
  <c r="A6" i="2" s="1"/>
  <c r="C6" i="2" s="1"/>
  <c r="A5" i="2" a="1"/>
  <c r="A5" i="2" s="1"/>
  <c r="C5" i="2" s="1"/>
  <c r="A4" i="2" a="1"/>
  <c r="A4" i="2" s="1"/>
  <c r="C4" i="2" s="1"/>
  <c r="A3" i="2" a="1"/>
  <c r="A3" i="2" s="1"/>
  <c r="C3" i="2" s="1"/>
  <c r="A2" i="2" a="1"/>
  <c r="A2" i="2" s="1"/>
  <c r="C2" i="2" s="1"/>
  <c r="B7" i="3" s="1"/>
  <c r="A20" i="1" a="1"/>
  <c r="A20" i="1"/>
  <c r="C20" i="1" s="1"/>
  <c r="A19" i="1" a="1"/>
  <c r="A19" i="1"/>
  <c r="C19" i="1" s="1"/>
  <c r="A24" i="1" a="1"/>
  <c r="A24" i="1"/>
  <c r="C24" i="1" s="1"/>
  <c r="C21" i="1"/>
  <c r="A18" i="1" a="1"/>
  <c r="A18" i="1"/>
  <c r="C18" i="1" s="1"/>
  <c r="A15" i="1" a="1"/>
  <c r="A15" i="1"/>
  <c r="C15" i="1"/>
  <c r="B10" i="1" a="1"/>
  <c r="B10" i="1" s="1"/>
  <c r="A13" i="1" a="1"/>
  <c r="A13" i="1"/>
  <c r="C13" i="1" s="1"/>
  <c r="A11" i="1" a="1"/>
  <c r="A11" i="1"/>
  <c r="C11" i="1" s="1"/>
  <c r="A10" i="1" a="1"/>
  <c r="A10" i="1"/>
  <c r="C10" i="1" s="1"/>
  <c r="A9" i="1" a="1"/>
  <c r="A9" i="1"/>
  <c r="C9" i="1" s="1"/>
  <c r="C7" i="1"/>
  <c r="C8" i="1"/>
  <c r="C6" i="1"/>
  <c r="A5" i="1" a="1"/>
  <c r="A5" i="1"/>
  <c r="A4" i="1" a="1"/>
  <c r="A4" i="1"/>
  <c r="A2" i="1" a="1"/>
  <c r="A2" i="1"/>
  <c r="C12" i="1" s="1"/>
  <c r="C5" i="1"/>
  <c r="C4" i="1"/>
  <c r="A4" i="6" l="1"/>
  <c r="C4" i="6" s="1"/>
  <c r="A7" i="6"/>
  <c r="C7" i="6" s="1"/>
  <c r="A6" i="6"/>
  <c r="C6" i="6" s="1"/>
  <c r="A5" i="6"/>
  <c r="C5" i="6" s="1"/>
  <c r="C11" i="7"/>
  <c r="C12" i="7"/>
  <c r="C13" i="7"/>
  <c r="C16" i="7"/>
  <c r="C15" i="7"/>
  <c r="A20" i="7"/>
  <c r="C20" i="7" s="1"/>
  <c r="A19" i="7"/>
  <c r="C19" i="7" s="1"/>
  <c r="B8" i="3"/>
  <c r="F2" i="6"/>
  <c r="A2" i="6" s="1"/>
  <c r="C2" i="6" s="1"/>
  <c r="A3" i="6"/>
  <c r="C3" i="6" s="1"/>
  <c r="C2" i="8"/>
  <c r="B12" i="3" s="1"/>
  <c r="C7" i="7"/>
  <c r="C6" i="7"/>
  <c r="B11" i="3" s="1"/>
  <c r="C5" i="5"/>
  <c r="C4" i="5"/>
  <c r="C9" i="5"/>
  <c r="C8" i="5"/>
  <c r="C23" i="1"/>
  <c r="C22" i="1"/>
  <c r="C2" i="1"/>
  <c r="B6" i="3" s="1"/>
  <c r="B10" i="3" l="1"/>
  <c r="B9" i="3"/>
  <c r="B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<sst xmlns="http://schemas.openxmlformats.org/spreadsheetml/2006/main" count="139" uniqueCount="83">
  <si>
    <t>LAMBDA and related Functions</t>
  </si>
  <si>
    <t>RESULT</t>
  </si>
  <si>
    <t>Sheet</t>
  </si>
  <si>
    <t>Result</t>
  </si>
  <si>
    <t>Comment</t>
  </si>
  <si>
    <t>Function_LAMBDA</t>
  </si>
  <si>
    <t>Function_ISOMITTED</t>
  </si>
  <si>
    <t>Function_BYCOL</t>
  </si>
  <si>
    <t>Function_BYROW</t>
  </si>
  <si>
    <t>Function_MAKEARRAY</t>
  </si>
  <si>
    <t>Function_MAP</t>
  </si>
  <si>
    <t>Function_REDUCE</t>
  </si>
  <si>
    <t>Function_SCAN</t>
  </si>
  <si>
    <t>FUNCTION</t>
  </si>
  <si>
    <t>EXPECTED</t>
  </si>
  <si>
    <t>CORRECT</t>
  </si>
  <si>
    <t>FORMULA</t>
  </si>
  <si>
    <t>COMMENT</t>
  </si>
  <si>
    <t>Data</t>
  </si>
  <si>
    <t>Constant</t>
  </si>
  <si>
    <t>Reference as input</t>
  </si>
  <si>
    <t>Value as input</t>
  </si>
  <si>
    <t>Unspecified value is defaulting to 0</t>
  </si>
  <si>
    <t>Div by 0</t>
  </si>
  <si>
    <t>Missing required parameter</t>
  </si>
  <si>
    <t>LAMBDA in a LET function</t>
  </si>
  <si>
    <t>Array input</t>
  </si>
  <si>
    <t>Range input</t>
  </si>
  <si>
    <t>Name (of a range) input</t>
  </si>
  <si>
    <t>Recursive LAMBDA</t>
  </si>
  <si>
    <t>PLUS2 set with LAMBDA in the Name Manager</t>
  </si>
  <si>
    <t>SUM LAMBDA function is set in Name Manager, make sure built-in function has priority</t>
  </si>
  <si>
    <t>If you use SUM in LAMBDA, it will use the built-in function not the named LAMBDA</t>
  </si>
  <si>
    <t>If you use SUM as parameter to LAMBDA, the named LAMBDA will be used instead</t>
  </si>
  <si>
    <t>Named lambda as parameter</t>
  </si>
  <si>
    <t>ETA-LAMBDA use in LAMBDA as parameter</t>
  </si>
  <si>
    <t>LAMBDA as parameter to LAMBDA</t>
  </si>
  <si>
    <t>Call LAMBDA 2 times</t>
  </si>
  <si>
    <t xml:space="preserve">Export of a named LAMBDA that takes a LAMBDA argument </t>
  </si>
  <si>
    <t>A LAMBDA body that closes over a sheet cell</t>
  </si>
  <si>
    <t>Tripple curry</t>
  </si>
  <si>
    <t>Value not written - second parameter</t>
  </si>
  <si>
    <t>Value not written - first parameter</t>
  </si>
  <si>
    <t>TODO - Optional used but not set - number</t>
  </si>
  <si>
    <t>xy</t>
  </si>
  <si>
    <t>TODO - Optional used but not set - string</t>
  </si>
  <si>
    <t>Syntax Error</t>
  </si>
  <si>
    <t>Manual check</t>
  </si>
  <si>
    <t>=LAMBDA(AX1, AX1, 0)</t>
  </si>
  <si>
    <t>AX1 = cell reference name - invalid syntax</t>
  </si>
  <si>
    <t>=LAMBDA([x], y, 0)</t>
  </si>
  <si>
    <t>Optional, then required parameter - invalid syntax</t>
  </si>
  <si>
    <t>=LAMBDA(x$, 0)</t>
  </si>
  <si>
    <t>=LAMBDA(ab!, 0)</t>
  </si>
  <si>
    <t>=LAMBDA(aa#a, 0)</t>
  </si>
  <si>
    <t>=LAMBDA(a%, 0)</t>
  </si>
  <si>
    <t>=LAMBDA(xx@3, 0)</t>
  </si>
  <si>
    <t>=LAMBDA(x,y,z, {x,y,z}))(1,2,3)</t>
  </si>
  <si>
    <t>Can't create an array from parameters</t>
  </si>
  <si>
    <t>=LAMBDA("x", 0)(1)</t>
  </si>
  <si>
    <t>TODO - Optional parameter, set</t>
  </si>
  <si>
    <t>TODO - Optional parameter, not set</t>
  </si>
  <si>
    <t>TODO - Required parameter, not set</t>
  </si>
  <si>
    <t>ABC</t>
  </si>
  <si>
    <t>AD</t>
  </si>
  <si>
    <t>BE</t>
  </si>
  <si>
    <t>CF</t>
  </si>
  <si>
    <t>Column reduction over a real range</t>
  </si>
  <si>
    <t>DEF</t>
  </si>
  <si>
    <t>Row reduction over a real range</t>
  </si>
  <si>
    <t>DATA</t>
  </si>
  <si>
    <t>A</t>
  </si>
  <si>
    <t>B</t>
  </si>
  <si>
    <t>Element map over a range</t>
  </si>
  <si>
    <t>Data 1</t>
  </si>
  <si>
    <t>Data 2</t>
  </si>
  <si>
    <t>abc</t>
  </si>
  <si>
    <t>10_abc</t>
  </si>
  <si>
    <t>REDUCE over a 2D array</t>
  </si>
  <si>
    <t>REDUCE over a range</t>
  </si>
  <si>
    <t>aa</t>
  </si>
  <si>
    <t>aab</t>
  </si>
  <si>
    <t>aabc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</si>
</sst>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ourier New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quotePrefix="1" applyFont="1"/>
    <xf numFmtId="0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NumberFormat="1" applyFill="1"/>
    <xf numFmtId="0" fontId="1" fillId="0" borderId="0" xfId="0" quotePrefix="1" applyFont="1" applyAlignment="1">
      <alignment horizontal="left" vertical="center"/>
    </xf>
    <xf numFmtId="0" fontId="1" fillId="0" borderId="0" xfId="0" quotePrefix="1" applyFont="1" applyAlignment="1">
      <alignment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wrapText="1"/>
    </xf>
  </cellXfs>
  <cellStyles count="1">
    <cellStyle name="Normal" xfId="0" builtinId="0"/>
  </cellStyles>
  <dxfs count="1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2</v>
    <v>2</v>
    <v>19</v>
  </rv>
  <rv s="0">
    <v>1</v>
    <v>2</v>
    <v>19</v>
  </rv>
</rvData>
</file>

<file path=xl/richData/rdrichvaluestructure.xml><?xml version="1.0" encoding="utf-8"?>
<rvStructures xmlns="http://schemas.microsoft.com/office/spreadsheetml/2017/richdata" count="1">
  <s t="_error">
    <k n="argument" t="s"/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45BA3-53D1-4694-94EA-5086DFF9C208}">
  <dimension ref="A1:G13"/>
  <sheetViews>
    <sheetView workbookViewId="0">
      <selection activeCell="A16" sqref="A16"/>
    </sheetView>
  </sheetViews>
  <sheetFormatPr defaultRowHeight="15"/>
  <cols>
    <col min="1" max="1" width="28" bestFit="1" customWidth="1"/>
    <col min="2" max="2" width="15.42578125" customWidth="1"/>
    <col min="3" max="3" width="38.28515625" customWidth="1"/>
  </cols>
  <sheetData>
    <row r="1" spans="1:7" ht="36">
      <c r="A1" s="8" t="s">
        <v>0</v>
      </c>
      <c r="B1" s="8"/>
      <c r="C1" s="8"/>
      <c r="D1" s="8"/>
      <c r="E1" s="8"/>
      <c r="F1" s="8"/>
      <c r="G1" s="8"/>
    </row>
    <row r="3" spans="1:7">
      <c r="A3" s="4" t="s">
        <v>1</v>
      </c>
      <c r="B3" s="5" t="b">
        <f>AND(B6:B13)</f>
        <v>1</v>
      </c>
    </row>
    <row r="5" spans="1:7">
      <c r="A5" s="4" t="s">
        <v>2</v>
      </c>
      <c r="B5" s="4" t="s">
        <v>3</v>
      </c>
      <c r="C5" s="4" t="s">
        <v>4</v>
      </c>
    </row>
    <row r="6" spans="1:7">
      <c r="A6" t="s">
        <v>5</v>
      </c>
      <c r="B6" s="5" t="b">
        <f>AND(Function_Lambda!C2:C107)</f>
        <v>1</v>
      </c>
    </row>
    <row r="7" spans="1:7">
      <c r="A7" t="s">
        <v>6</v>
      </c>
      <c r="B7" s="5" t="b">
        <f>AND(Function_IsOmitted!C2:C100)</f>
        <v>1</v>
      </c>
    </row>
    <row r="8" spans="1:7">
      <c r="A8" t="s">
        <v>7</v>
      </c>
      <c r="B8" s="5" t="b">
        <f>AND(Function_ByCol!C2:C100)</f>
        <v>1</v>
      </c>
    </row>
    <row r="9" spans="1:7">
      <c r="A9" t="s">
        <v>8</v>
      </c>
      <c r="B9" s="5" t="b">
        <f>AND(Function_ByRow!C2:C100)</f>
        <v>1</v>
      </c>
    </row>
    <row r="10" spans="1:7">
      <c r="A10" t="s">
        <v>9</v>
      </c>
      <c r="B10" s="5" t="b">
        <f>AND(Function_MakeArray!C2:C9)</f>
        <v>1</v>
      </c>
    </row>
    <row r="11" spans="1:7">
      <c r="A11" t="s">
        <v>10</v>
      </c>
      <c r="B11" s="5" t="b">
        <f>AND(Function_Map!C2:C100)</f>
        <v>1</v>
      </c>
    </row>
    <row r="12" spans="1:7">
      <c r="A12" t="s">
        <v>11</v>
      </c>
      <c r="B12" s="5" t="b">
        <f>AND(Function_Reduce!C2:C102)</f>
        <v>1</v>
      </c>
    </row>
    <row r="13" spans="1:7">
      <c r="A13" t="s">
        <v>12</v>
      </c>
      <c r="B13" s="5" t="b">
        <f>AND(Function_Scan!C2:C100)</f>
        <v>1</v>
      </c>
    </row>
  </sheetData>
  <mergeCells count="1">
    <mergeCell ref="A1:G1"/>
  </mergeCells>
  <conditionalFormatting sqref="B3">
    <cfRule type="cellIs" dxfId="9" priority="2" operator="equal">
      <formula>TRUE</formula>
    </cfRule>
  </conditionalFormatting>
  <conditionalFormatting sqref="B6:B13">
    <cfRule type="cellIs" dxfId="8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workbookViewId="0">
      <selection activeCell="C2" sqref="C2"/>
    </sheetView>
  </sheetViews>
  <sheetFormatPr defaultRowHeight="15"/>
  <cols>
    <col min="1" max="1" width="15.7109375" customWidth="1"/>
    <col min="2" max="2" width="15.5703125" customWidth="1"/>
    <col min="3" max="3" width="23.28515625" bestFit="1" customWidth="1"/>
    <col min="4" max="4" width="91.140625" customWidth="1"/>
    <col min="5" max="5" width="85.140625" customWidth="1"/>
  </cols>
  <sheetData>
    <row r="1" spans="1:6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t="s">
        <v>18</v>
      </c>
    </row>
    <row r="2" spans="1:6">
      <c r="A2" cm="1">
        <f t="array" ref="A2">_xlfn.LAMBDA(_xlpm.a, 2)(1)</f>
        <v>2</v>
      </c>
      <c r="B2">
        <v>2</v>
      </c>
      <c r="C2" s="2" t="b">
        <f>A2=B2</f>
        <v>1</v>
      </c>
      <c r="D2" s="1" t="str">
        <f ca="1">_xlfn.FORMULATEXT(A2)</f>
        <v>=LAMBDA(a, 2)(1)</v>
      </c>
      <c r="E2" t="s">
        <v>19</v>
      </c>
      <c r="F2">
        <v>10</v>
      </c>
    </row>
    <row r="3" spans="1:6">
      <c r="A3" cm="1">
        <f t="array" ref="A3">_xlfn.LAMBDA(_xlpm.a, _xlpm.a)(F2)</f>
        <v>10</v>
      </c>
      <c r="B3">
        <v>10</v>
      </c>
      <c r="C3" s="2" t="b">
        <f>A3=B3</f>
        <v>1</v>
      </c>
      <c r="D3" s="1" t="str">
        <f ca="1">_xlfn.FORMULATEXT(A3)</f>
        <v>=LAMBDA(a, a)(F2)</v>
      </c>
      <c r="E3" t="s">
        <v>20</v>
      </c>
      <c r="F3">
        <v>20</v>
      </c>
    </row>
    <row r="4" spans="1:6">
      <c r="A4" cm="1">
        <f t="array" ref="A4">_xlfn.LAMBDA(_xlpm.a, _xlpm.a)(3)</f>
        <v>3</v>
      </c>
      <c r="B4">
        <v>3</v>
      </c>
      <c r="C4" s="2" t="b">
        <f>A4=B4</f>
        <v>1</v>
      </c>
      <c r="D4" s="1" t="str">
        <f ca="1">_xlfn.FORMULATEXT(A4)</f>
        <v>=LAMBDA(a, a)(3)</v>
      </c>
      <c r="E4" t="s">
        <v>21</v>
      </c>
      <c r="F4">
        <v>30</v>
      </c>
    </row>
    <row r="5" spans="1:6">
      <c r="A5" cm="1">
        <f t="array" ref="A5">_xlfn.LAMBDA(_xlpm.a, _xlpm.a * 2)(2)</f>
        <v>4</v>
      </c>
      <c r="B5">
        <v>4</v>
      </c>
      <c r="C5" s="2" t="b">
        <f>A5=B5</f>
        <v>1</v>
      </c>
      <c r="D5" s="1" t="str">
        <f ca="1">_xlfn.FORMULATEXT(A5)</f>
        <v>=LAMBDA(a, a * 2)(2)</v>
      </c>
      <c r="F5">
        <v>40</v>
      </c>
    </row>
    <row r="6" spans="1:6">
      <c r="A6" cm="1">
        <f t="array" ref="A6">_xlfn.LAMBDA(_xlpm.x,_xlpm.y, _xlpm.x + _xlpm.y)(3, 4)</f>
        <v>7</v>
      </c>
      <c r="B6">
        <v>7</v>
      </c>
      <c r="C6" s="2" t="b">
        <f>A6=B6</f>
        <v>1</v>
      </c>
      <c r="D6" s="1" t="str">
        <f ca="1">_xlfn.FORMULATEXT(A6)</f>
        <v>=LAMBDA(x,y, x + y)(3, 4)</v>
      </c>
    </row>
    <row r="7" spans="1:6">
      <c r="A7" cm="1">
        <f t="array" ref="A7">_xlfn.LAMBDA(_xlpm.a, _xlpm.a + _xlpm.a)(5)</f>
        <v>10</v>
      </c>
      <c r="B7">
        <v>10</v>
      </c>
      <c r="C7" s="2" t="b">
        <f>A7=B7</f>
        <v>1</v>
      </c>
      <c r="D7" s="1" t="str">
        <f ca="1">_xlfn.FORMULATEXT(A7)</f>
        <v>=LAMBDA(a, a + a)(5)</v>
      </c>
    </row>
    <row r="8" spans="1:6">
      <c r="A8" cm="1">
        <f t="array" ref="A8">_xlfn.LAMBDA(_xlpm.x,_xlpm.y, _xlpm.x * _xlpm.y + _xlpm.x)(3, 4)</f>
        <v>15</v>
      </c>
      <c r="B8">
        <v>15</v>
      </c>
      <c r="C8" s="2" t="b">
        <f>A8=B8</f>
        <v>1</v>
      </c>
      <c r="D8" s="1" t="str">
        <f ca="1">_xlfn.FORMULATEXT(A8)</f>
        <v>=LAMBDA(x,y, x * y + x)(3, 4)</v>
      </c>
    </row>
    <row r="9" spans="1:6">
      <c r="A9" cm="1">
        <f t="array" ref="A9">_xlfn.LAMBDA(_xlpm.a, IF(_xlpm.a &gt; 0, _xlpm.a, -_xlpm.a))(-5)</f>
        <v>5</v>
      </c>
      <c r="B9">
        <v>5</v>
      </c>
      <c r="C9" s="2" t="b">
        <f>A9=B9</f>
        <v>1</v>
      </c>
      <c r="D9" s="1" t="str">
        <f ca="1">_xlfn.FORMULATEXT(A9)</f>
        <v>=LAMBDA(a, IF(a &gt; 0, a, -a))(-5)</v>
      </c>
    </row>
    <row r="10" spans="1:6">
      <c r="A10" t="str" cm="1">
        <f t="array" ref="A10">_xlfn.LAMBDA(_xlpm.a, _xlpm.a &amp; "!")("hi")</f>
        <v>hi!</v>
      </c>
      <c r="B10" t="str" cm="1">
        <f t="array" ref="B10">_xlfn.LAMBDA(_xlpm.a, _xlpm.a &amp; "!")("hi")</f>
        <v>hi!</v>
      </c>
      <c r="C10" s="2" t="b">
        <f>A10=B10</f>
        <v>1</v>
      </c>
      <c r="D10" s="1" t="str">
        <f ca="1">_xlfn.FORMULATEXT(A10)</f>
        <v>=LAMBDA(a, a &amp; "!")("hi")</v>
      </c>
    </row>
    <row r="11" spans="1:6">
      <c r="A11" cm="1">
        <f t="array" ref="A11">_xlfn.LAMBDA(_xlpm.SQRT, SQRT(_xlpm.SQRT))(4)</f>
        <v>2</v>
      </c>
      <c r="B11">
        <v>2</v>
      </c>
      <c r="C11" s="2" t="b">
        <f>A11=B11</f>
        <v>1</v>
      </c>
      <c r="D11" s="1" t="str">
        <f ca="1">_xlfn.FORMULATEXT(A11)</f>
        <v>=LAMBDA(SQRT, SQRT(SQRT))(4)</v>
      </c>
    </row>
    <row r="12" spans="1:6">
      <c r="A12" cm="1">
        <f t="array" ref="A12">_xlfn.LAMBDA(_xlpm.r, SUM(_xlpm.r))(F2:F5)</f>
        <v>100</v>
      </c>
      <c r="B12">
        <v>100</v>
      </c>
      <c r="C12" s="2" t="b">
        <f>A12=B12</f>
        <v>1</v>
      </c>
      <c r="D12" s="1" t="str">
        <f ca="1">_xlfn.FORMULATEXT(A12)</f>
        <v>=LAMBDA(r, SUM(r))(F2:F5)</v>
      </c>
    </row>
    <row r="13" spans="1:6">
      <c r="A13" cm="1">
        <f t="array" ref="A13">_xlfn.LAMBDA(_xlpm.a,_xlpm.b,_xlpm.c, _xlpm.a + _xlpm.b + _xlpm.c)(1, 2, 3)</f>
        <v>6</v>
      </c>
      <c r="B13">
        <v>6</v>
      </c>
      <c r="C13" s="2" t="b">
        <f>A13=B13</f>
        <v>1</v>
      </c>
      <c r="D13" s="1" t="str">
        <f ca="1">_xlfn.FORMULATEXT(A13)</f>
        <v>=LAMBDA(a,b,c, a + b + c)(1, 2, 3)</v>
      </c>
    </row>
    <row r="14" spans="1:6">
      <c r="A14" cm="1">
        <f t="array" ref="A14">_xlfn.LAMBDA(_xlpm.a,_xlpm.b,_xlpm.c, _xlpm.a + _xlpm.b + _xlpm.c)(,,)</f>
        <v>0</v>
      </c>
      <c r="B14">
        <v>0</v>
      </c>
      <c r="C14" s="2" t="b">
        <f>A14=B14</f>
        <v>1</v>
      </c>
      <c r="D14" s="1" t="str">
        <f ca="1">_xlfn.FORMULATEXT(A14)</f>
        <v>=LAMBDA(a,b,c, a + b + c)(,,)</v>
      </c>
      <c r="E14" t="s">
        <v>22</v>
      </c>
    </row>
    <row r="15" spans="1:6">
      <c r="A15" t="b" cm="1">
        <f t="array" ref="A15">_xlfn.LAMBDA(_xlpm.x, _xlpm.x &gt; 5)(7)</f>
        <v>1</v>
      </c>
      <c r="B15" t="b">
        <v>1</v>
      </c>
      <c r="C15" s="2" t="b">
        <f>A15=B15</f>
        <v>1</v>
      </c>
      <c r="D15" s="1" t="str">
        <f ca="1">_xlfn.FORMULATEXT(A15)</f>
        <v>=LAMBDA(x, x &gt; 5)(7)</v>
      </c>
    </row>
    <row r="16" spans="1:6">
      <c r="A16" cm="1">
        <f t="array" ref="A16">ERROR.TYPE(_xlfn.LAMBDA(_xlpm.x, 1 / _xlpm.x)(0))</f>
        <v>2</v>
      </c>
      <c r="B16">
        <v>2</v>
      </c>
      <c r="C16" s="2" t="b">
        <f>A16=B16</f>
        <v>1</v>
      </c>
      <c r="D16" s="1" t="str">
        <f ca="1">_xlfn.FORMULATEXT(A16)</f>
        <v>=ERROR.TYPE(LAMBDA(x, 1 / x)(0))</v>
      </c>
      <c r="E16" t="s">
        <v>23</v>
      </c>
    </row>
    <row r="17" spans="1:5">
      <c r="A17" cm="1">
        <f t="array" ref="A17">ERROR.TYPE(_xlfn.LAMBDA(_xlpm.x,_xlpm.y, _xlpm.x + _xlpm.y)(1))</f>
        <v>3</v>
      </c>
      <c r="B17">
        <v>3</v>
      </c>
      <c r="C17" s="2" t="b">
        <f>A17=B17</f>
        <v>1</v>
      </c>
      <c r="D17" s="1" t="str">
        <f ca="1">_xlfn.FORMULATEXT(A17)</f>
        <v>=ERROR.TYPE(LAMBDA(x,y, x + y)(1))</v>
      </c>
      <c r="E17" t="s">
        <v>24</v>
      </c>
    </row>
    <row r="18" spans="1:5">
      <c r="A18" cm="1">
        <f t="array" ref="A18">_xlfn.LAMBDA(_xlpm.x, _xlfn.LAMBDA(_xlpm.y, _xlpm.x + _xlpm.y))(3)(4)</f>
        <v>7</v>
      </c>
      <c r="B18">
        <v>7</v>
      </c>
      <c r="C18" s="2" t="b">
        <f>A18=B18</f>
        <v>1</v>
      </c>
      <c r="D18" s="1" t="str">
        <f ca="1">_xlfn.FORMULATEXT(A18)</f>
        <v>=LAMBDA(x, LAMBDA(y, x + y))(3)(4)</v>
      </c>
    </row>
    <row r="19" spans="1:5">
      <c r="A19" cm="1">
        <f t="array" ref="A19">_xlfn.LET(_xlpm.f, _xlfn.LAMBDA(_xlpm.x, _xlpm.x * _xlpm.x), _xlpm.f(4))</f>
        <v>16</v>
      </c>
      <c r="B19">
        <v>16</v>
      </c>
      <c r="C19" s="2" t="b">
        <f>A19=B19</f>
        <v>1</v>
      </c>
      <c r="D19" s="1" t="str">
        <f ca="1">_xlfn.FORMULATEXT(A19)</f>
        <v>=LET(f, LAMBDA(x, x * x), f(4))</v>
      </c>
      <c r="E19" t="s">
        <v>25</v>
      </c>
    </row>
    <row r="20" spans="1:5">
      <c r="A20" cm="1">
        <f t="array" ref="A20">_xlfn.LAMBDA(_xlpm.a, SUM(_xlpm.a))({1;2;3})</f>
        <v>6</v>
      </c>
      <c r="B20">
        <v>6</v>
      </c>
      <c r="C20" s="2" t="b">
        <f>A20=B20</f>
        <v>1</v>
      </c>
      <c r="D20" s="1" t="str">
        <f ca="1">_xlfn.FORMULATEXT(A20)</f>
        <v>=LAMBDA(a, SUM(a))({1;2;3})</v>
      </c>
    </row>
    <row r="21" spans="1:5">
      <c r="A21" cm="1">
        <f t="array" ref="A21">SUM(_xlfn.LAMBDA(_xlpm.a, _xlpm.a * 2)({10;11;20}))</f>
        <v>82</v>
      </c>
      <c r="B21">
        <v>82</v>
      </c>
      <c r="C21" s="2" t="b">
        <f>A21=B21</f>
        <v>1</v>
      </c>
      <c r="D21" s="1" t="str">
        <f ca="1">_xlfn.FORMULATEXT(A21)</f>
        <v>=SUM(LAMBDA(a, a * 2)({10;11;20}))</v>
      </c>
      <c r="E21" t="s">
        <v>26</v>
      </c>
    </row>
    <row r="22" spans="1:5">
      <c r="A22" cm="1">
        <f t="array" ref="A22">SUM(_xlfn.LAMBDA(_xlpm.a, _xlpm.a * 2)(F2:F5))</f>
        <v>200</v>
      </c>
      <c r="B22">
        <v>200</v>
      </c>
      <c r="C22" s="2" t="b">
        <f>A22=B22</f>
        <v>1</v>
      </c>
      <c r="D22" s="1" t="str">
        <f ca="1">_xlfn.FORMULATEXT(A22)</f>
        <v>=SUM(LAMBDA(a, a * 2)(F2:F5))</v>
      </c>
      <c r="E22" t="s">
        <v>27</v>
      </c>
    </row>
    <row r="23" spans="1:5">
      <c r="A23" cm="1">
        <f t="array" ref="A23">SUM(_xlfn.LAMBDA(_xlpm.a, _xlpm.a * 2)(DATARANGE))</f>
        <v>200</v>
      </c>
      <c r="B23">
        <v>200</v>
      </c>
      <c r="C23" s="2" t="b">
        <f>A23=B23</f>
        <v>1</v>
      </c>
      <c r="D23" s="1" t="str">
        <f ca="1">_xlfn.FORMULATEXT(A23)</f>
        <v>=SUM(LAMBDA(a, a * 2)(DATARANGE))</v>
      </c>
      <c r="E23" t="s">
        <v>28</v>
      </c>
    </row>
    <row r="24" spans="1:5">
      <c r="A24" cm="1">
        <f t="array" ref="A24">_xlfn.LET(_xlpm.g, _xlfn.LAMBDA(_xlpm.self,_xlpm.n, IF(_xlpm.n &lt;= 1, 1, _xlpm.n * _xlpm.self(_xlpm.self, _xlpm.n - 1))), _xlpm.g(_xlpm.g, 5))</f>
        <v>120</v>
      </c>
      <c r="B24">
        <v>120</v>
      </c>
      <c r="C24" s="2" t="b">
        <f>A24=B24</f>
        <v>1</v>
      </c>
      <c r="D24" s="1" t="str">
        <f ca="1">_xlfn.FORMULATEXT(A24)</f>
        <v>=LET(g, LAMBDA(self,n, IF(n &lt;= 1, 1, n * self(self, n - 1))), g(g, 5))</v>
      </c>
      <c r="E24" t="s">
        <v>29</v>
      </c>
    </row>
    <row r="25" spans="1:5">
      <c r="A25" cm="1">
        <f t="array" ref="A25">PLUS2(5)</f>
        <v>7</v>
      </c>
      <c r="B25">
        <v>7</v>
      </c>
      <c r="C25" s="2" t="b">
        <f>A25=B25</f>
        <v>1</v>
      </c>
      <c r="D25" s="1" t="str">
        <f ca="1">_xlfn.FORMULATEXT(A25)</f>
        <v>=PLUS2(5)</v>
      </c>
      <c r="E25" t="s">
        <v>30</v>
      </c>
    </row>
    <row r="26" spans="1:5">
      <c r="A26">
        <f>SUM(4)</f>
        <v>4</v>
      </c>
      <c r="B26">
        <v>4</v>
      </c>
      <c r="C26" s="2" t="b">
        <f>A26=B26</f>
        <v>1</v>
      </c>
      <c r="D26" s="1" t="str">
        <f ca="1">_xlfn.FORMULATEXT(A26)</f>
        <v>=SUM(4)</v>
      </c>
      <c r="E26" t="s">
        <v>31</v>
      </c>
    </row>
    <row r="27" spans="1:5">
      <c r="A27" cm="1">
        <f t="array" ref="A27">_xlfn.LAMBDA(_xlpm.x, SUM(_xlpm.x))(100)</f>
        <v>100</v>
      </c>
      <c r="B27">
        <v>100</v>
      </c>
      <c r="C27" s="2" t="b">
        <f>A27=B27</f>
        <v>1</v>
      </c>
      <c r="D27" s="1" t="str">
        <f ca="1">_xlfn.FORMULATEXT(A27)</f>
        <v>=LAMBDA(x, SUM(x))(100)</v>
      </c>
      <c r="E27" t="s">
        <v>32</v>
      </c>
    </row>
    <row r="28" spans="1:5">
      <c r="A28" cm="1">
        <f t="array" ref="A28">_xlfn.LAMBDA(_xlpm.x,_xlpm.f, _xlpm.f(_xlpm.x))(100,SUM)</f>
        <v>110</v>
      </c>
      <c r="B28">
        <v>110</v>
      </c>
      <c r="C28" s="2" t="b">
        <f>A28=B28</f>
        <v>1</v>
      </c>
      <c r="D28" s="1" t="str">
        <f ca="1">_xlfn.FORMULATEXT(A28)</f>
        <v>=LAMBDA(x,f, f(x))(100,SUM)</v>
      </c>
      <c r="E28" t="s">
        <v>33</v>
      </c>
    </row>
    <row r="29" spans="1:5">
      <c r="A29" cm="1">
        <f t="array" ref="A29">_xlfn.LAMBDA(_xlpm.f,_xlpm.n, _xlpm.f(_xlpm.n))(PLUS2, 1)</f>
        <v>3</v>
      </c>
      <c r="B29">
        <v>3</v>
      </c>
      <c r="C29" s="2" t="b">
        <f>A29=B29</f>
        <v>1</v>
      </c>
      <c r="D29" s="1" t="str">
        <f ca="1">_xlfn.FORMULATEXT(A29)</f>
        <v>=LAMBDA(f,n, f(n))(PLUS2, 1)</v>
      </c>
      <c r="E29" t="s">
        <v>34</v>
      </c>
    </row>
    <row r="30" spans="1:5">
      <c r="A30" cm="1">
        <f t="array" ref="A30">_xlfn.LAMBDA(_xlpm.f,_xlpm.n, _xlpm.f(_xlpm.n))(_xleta.COUNT, {1,2,3,4})</f>
        <v>4</v>
      </c>
      <c r="B30">
        <v>4</v>
      </c>
      <c r="C30" s="2" t="b">
        <f>A30=B30</f>
        <v>1</v>
      </c>
      <c r="D30" s="1" t="str">
        <f ca="1">_xlfn.FORMULATEXT(A30)</f>
        <v>=LAMBDA(f,n, f(n))(COUNT, {1,2,3,4})</v>
      </c>
      <c r="E30" t="s">
        <v>35</v>
      </c>
    </row>
    <row r="31" spans="1:5">
      <c r="A31" cm="1">
        <f t="array" ref="A31">_xlfn.LAMBDA(_xlpm.f, _xlpm.f(5))(_xlfn.LAMBDA(_xlpm.x, _xlpm.x * 2))</f>
        <v>10</v>
      </c>
      <c r="B31">
        <v>10</v>
      </c>
      <c r="C31" s="2" t="b">
        <f>A31=B31</f>
        <v>1</v>
      </c>
      <c r="D31" s="1" t="str">
        <f ca="1">_xlfn.FORMULATEXT(A31)</f>
        <v>=LAMBDA(f, f(5))(LAMBDA(x, x * 2))</v>
      </c>
      <c r="E31" t="s">
        <v>36</v>
      </c>
    </row>
    <row r="32" spans="1:5">
      <c r="A32" cm="1">
        <f t="array" ref="A32">_xlfn.LAMBDA(_xlpm.f,_xlpm.x, _xlpm.f(_xlpm.f(_xlpm.x)))(_xlfn.LAMBDA(_xlpm.n, _xlpm.n + 1), 5)</f>
        <v>7</v>
      </c>
      <c r="B32">
        <v>7</v>
      </c>
      <c r="C32" s="2" t="b">
        <f>A32=B32</f>
        <v>1</v>
      </c>
      <c r="D32" s="1" t="str">
        <f ca="1">_xlfn.FORMULATEXT(A32)</f>
        <v>=LAMBDA(f,x, f(f(x)))(LAMBDA(n, n + 1), 5)</v>
      </c>
      <c r="E32" t="s">
        <v>37</v>
      </c>
    </row>
    <row r="33" spans="1:5">
      <c r="A33" cm="1">
        <f t="array" ref="A33">APPLYTWICE(_xlfn.LAMBDA(_xlpm.x, _xlpm.x * 2), 8)</f>
        <v>32</v>
      </c>
      <c r="B33">
        <v>32</v>
      </c>
      <c r="C33" s="2" t="b">
        <f>A33=B33</f>
        <v>1</v>
      </c>
      <c r="D33" s="1" t="str">
        <f ca="1">_xlfn.FORMULATEXT(A33)</f>
        <v>=APPLYTWICE(LAMBDA(x, x * 2), 8)</v>
      </c>
      <c r="E33" t="s">
        <v>38</v>
      </c>
    </row>
    <row r="34" spans="1:5">
      <c r="A34" cm="1">
        <f t="array" ref="A34">_xlfn.LAMBDA(_xlpm.x, _xlpm.x + $F$2)(5)</f>
        <v>15</v>
      </c>
      <c r="B34">
        <v>15</v>
      </c>
      <c r="C34" s="2" t="b">
        <f>A34=B34</f>
        <v>1</v>
      </c>
      <c r="D34" s="1" t="str">
        <f ca="1">_xlfn.FORMULATEXT(A34)</f>
        <v>=LAMBDA(x, x + $F$2)(5)</v>
      </c>
      <c r="E34" t="s">
        <v>39</v>
      </c>
    </row>
    <row r="35" spans="1:5">
      <c r="A35" cm="1">
        <f t="array" ref="A35">_xlfn.LAMBDA(_xlpm.a, _xlfn.LAMBDA(_xlpm.b, _xlfn.LAMBDA(_xlpm.c, _xlpm.a + _xlpm.b + _xlpm.c)))(3)(30)(300)</f>
        <v>333</v>
      </c>
      <c r="B35">
        <v>333</v>
      </c>
      <c r="C35" s="2" t="b">
        <f>A35=B35</f>
        <v>1</v>
      </c>
      <c r="D35" s="1" t="str">
        <f ca="1">_xlfn.FORMULATEXT(A35)</f>
        <v>=LAMBDA(a, LAMBDA(b, LAMBDA(c, a + b + c)))(3)(30)(300)</v>
      </c>
      <c r="E35" t="s">
        <v>40</v>
      </c>
    </row>
    <row r="36" spans="1:5">
      <c r="A36" cm="1">
        <f t="array" ref="A36">_xlfn.LAMBDA(_xlpm.x,_xlpm.y, _xlpm.x + _xlpm.y)(20,)</f>
        <v>20</v>
      </c>
      <c r="B36">
        <v>20</v>
      </c>
      <c r="C36" s="2" t="b">
        <f>A36=B36</f>
        <v>1</v>
      </c>
      <c r="D36" s="1" t="str">
        <f ca="1">_xlfn.FORMULATEXT(A36)</f>
        <v>=LAMBDA(x,y, x + y)(20,)</v>
      </c>
      <c r="E36" t="s">
        <v>41</v>
      </c>
    </row>
    <row r="37" spans="1:5">
      <c r="A37" cm="1">
        <f t="array" ref="A37">_xlfn.LAMBDA(_xlpm.x,_xlpm.y, _xlpm.x + _xlpm.y)(,2)</f>
        <v>2</v>
      </c>
      <c r="B37">
        <v>2</v>
      </c>
      <c r="C37" s="2" t="b">
        <f>A37=B37</f>
        <v>1</v>
      </c>
      <c r="D37" s="1" t="str">
        <f ca="1">_xlfn.FORMULATEXT(A37)</f>
        <v>=LAMBDA(x,y, x + y)(,2)</v>
      </c>
      <c r="E37" t="s">
        <v>42</v>
      </c>
    </row>
    <row r="38" spans="1:5">
      <c r="A38" cm="1">
        <f t="array" ref="A38">_xlfn.LAMBDA(_xlpm.x,_xlop.y,_xlop.z, _xlpm.x + _xlpm.y + _xlpm.z)(7)</f>
        <v>7</v>
      </c>
      <c r="B38">
        <v>7</v>
      </c>
      <c r="C38" s="2" t="b">
        <f>A38=B38</f>
        <v>1</v>
      </c>
      <c r="D38" s="1" t="str">
        <f ca="1">_xlfn.FORMULATEXT(A38)</f>
        <v>=LAMBDA(x,[y],[z], x + y + z)(7)</v>
      </c>
      <c r="E38" t="s">
        <v>43</v>
      </c>
    </row>
    <row r="39" spans="1:5">
      <c r="A39" t="str" cm="1">
        <f t="array" ref="A39">_xlfn.LAMBDA(_xlpm.x,_xlop.y,_xlop.z, _xlpm.x &amp; _xlpm.y &amp; _xlpm.z)("xy")</f>
        <v>xy</v>
      </c>
      <c r="B39" t="s">
        <v>44</v>
      </c>
      <c r="C39" s="2" t="b">
        <f>A39=B39</f>
        <v>1</v>
      </c>
      <c r="D39" s="1" t="str">
        <f ca="1">_xlfn.FORMULATEXT(A39)</f>
        <v>=LAMBDA(x,[y],[z], x &amp; y &amp; z)("xy")</v>
      </c>
      <c r="E39" t="s">
        <v>45</v>
      </c>
    </row>
    <row r="40" spans="1:5">
      <c r="A40" s="9" t="s">
        <v>46</v>
      </c>
      <c r="B40" s="3" t="s">
        <v>47</v>
      </c>
      <c r="C40" s="3"/>
      <c r="D40" s="1" t="s">
        <v>48</v>
      </c>
      <c r="E40" t="s">
        <v>49</v>
      </c>
    </row>
    <row r="41" spans="1:5">
      <c r="A41" s="9" t="s">
        <v>46</v>
      </c>
      <c r="B41" s="3" t="s">
        <v>47</v>
      </c>
      <c r="D41" s="1" t="s">
        <v>50</v>
      </c>
      <c r="E41" t="s">
        <v>51</v>
      </c>
    </row>
    <row r="42" spans="1:5">
      <c r="A42" s="9" t="s">
        <v>46</v>
      </c>
      <c r="B42" s="3" t="s">
        <v>47</v>
      </c>
      <c r="D42" s="1" t="s">
        <v>52</v>
      </c>
    </row>
    <row r="43" spans="1:5">
      <c r="A43" s="9" t="s">
        <v>46</v>
      </c>
      <c r="B43" s="3" t="s">
        <v>47</v>
      </c>
      <c r="D43" s="1" t="s">
        <v>53</v>
      </c>
    </row>
    <row r="44" spans="1:5">
      <c r="A44" s="9" t="s">
        <v>46</v>
      </c>
      <c r="B44" s="3" t="s">
        <v>47</v>
      </c>
      <c r="D44" s="1" t="s">
        <v>54</v>
      </c>
    </row>
    <row r="45" spans="1:5">
      <c r="A45" s="9" t="s">
        <v>46</v>
      </c>
      <c r="B45" s="3" t="s">
        <v>47</v>
      </c>
      <c r="D45" s="1" t="s">
        <v>55</v>
      </c>
    </row>
    <row r="46" spans="1:5">
      <c r="A46" s="9" t="s">
        <v>46</v>
      </c>
      <c r="B46" s="3" t="s">
        <v>47</v>
      </c>
      <c r="D46" s="1" t="s">
        <v>56</v>
      </c>
    </row>
    <row r="47" spans="1:5">
      <c r="A47" s="9" t="s">
        <v>46</v>
      </c>
      <c r="B47" s="3" t="s">
        <v>47</v>
      </c>
      <c r="D47" s="1" t="s">
        <v>57</v>
      </c>
      <c r="E47" t="s">
        <v>58</v>
      </c>
    </row>
    <row r="48" spans="1:5">
      <c r="A48" s="9" t="s">
        <v>46</v>
      </c>
      <c r="B48" s="3" t="s">
        <v>47</v>
      </c>
      <c r="D48" s="1" t="s">
        <v>59</v>
      </c>
    </row>
    <row r="49" spans="1:1">
      <c r="A49" s="3"/>
    </row>
  </sheetData>
  <conditionalFormatting sqref="C2:C39">
    <cfRule type="cellIs" dxfId="7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26BC4-8690-4B4D-B9FF-1C0DCDF78CF0}">
  <dimension ref="A1:F11"/>
  <sheetViews>
    <sheetView workbookViewId="0">
      <selection activeCell="C2" sqref="C2:C11"/>
    </sheetView>
  </sheetViews>
  <sheetFormatPr defaultRowHeight="15"/>
  <cols>
    <col min="1" max="1" width="10.28515625" bestFit="1" customWidth="1"/>
    <col min="2" max="2" width="9.7109375" bestFit="1" customWidth="1"/>
    <col min="3" max="3" width="23.28515625" bestFit="1" customWidth="1"/>
    <col min="4" max="4" width="61.5703125" bestFit="1" customWidth="1"/>
    <col min="5" max="5" width="32.42578125" bestFit="1" customWidth="1"/>
  </cols>
  <sheetData>
    <row r="1" spans="1:6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</row>
    <row r="2" spans="1:6">
      <c r="A2" t="b" cm="1">
        <f t="array" ref="A2">_xlfn.LAMBDA(_xlpm.x,_xlpm.y, _xlfn.ISOMITTED(_xlpm.x))(, 5)</f>
        <v>1</v>
      </c>
      <c r="B2" t="b">
        <v>1</v>
      </c>
      <c r="C2" t="b">
        <f t="shared" ref="C2:C11" si="0">A2=B2</f>
        <v>1</v>
      </c>
      <c r="D2" s="1" t="str">
        <f ca="1">_xlfn.FORMULATEXT(A2)</f>
        <v>=LAMBDA(x,y, ISOMITTED(x))(, 5)</v>
      </c>
    </row>
    <row r="3" spans="1:6">
      <c r="A3" t="b" cm="1">
        <f t="array" ref="A3">_xlfn.LAMBDA(_xlpm.x,_xlpm.y, _xlfn.ISOMITTED(_xlpm.x))(3, 5)</f>
        <v>0</v>
      </c>
      <c r="B3" t="b">
        <v>0</v>
      </c>
      <c r="C3" t="b">
        <f t="shared" si="0"/>
        <v>1</v>
      </c>
      <c r="D3" s="1" t="str">
        <f t="shared" ref="D3:D8" ca="1" si="1">_xlfn.FORMULATEXT(A3)</f>
        <v>=LAMBDA(x,y, ISOMITTED(x))(3, 5)</v>
      </c>
    </row>
    <row r="4" spans="1:6">
      <c r="A4" t="b" cm="1">
        <f t="array" ref="A4">_xlfn.LAMBDA(_xlpm.x,_xlpm.y, _xlfn.ISOMITTED(_xlpm.x))(3, 5)</f>
        <v>0</v>
      </c>
      <c r="B4" t="b">
        <v>0</v>
      </c>
      <c r="C4" t="b">
        <f t="shared" si="0"/>
        <v>1</v>
      </c>
      <c r="D4" s="1" t="str">
        <f t="shared" ca="1" si="1"/>
        <v>=LAMBDA(x,y, ISOMITTED(x))(3, 5)</v>
      </c>
    </row>
    <row r="5" spans="1:6">
      <c r="A5" cm="1">
        <f t="array" ref="A5">_xlfn.LAMBDA(_xlpm.x,_xlpm.y, IF(_xlfn.ISOMITTED(_xlpm.x), 99, _xlpm.x) + _xlpm.y)(, 5)</f>
        <v>104</v>
      </c>
      <c r="B5">
        <v>104</v>
      </c>
      <c r="C5" t="b">
        <f t="shared" si="0"/>
        <v>1</v>
      </c>
      <c r="D5" s="1" t="str">
        <f t="shared" ca="1" si="1"/>
        <v>=LAMBDA(x,y, IF(ISOMITTED(x), 99, x) + y)(, 5)</v>
      </c>
    </row>
    <row r="6" spans="1:6">
      <c r="A6" cm="1">
        <f t="array" ref="A6">_xlfn.LAMBDA(_xlpm.x,_xlpm.y, IF(_xlfn.ISOMITTED(_xlpm.x), 99, _xlpm.x) + _xlpm.y)(3, 5)</f>
        <v>8</v>
      </c>
      <c r="B6">
        <v>8</v>
      </c>
      <c r="C6" t="b">
        <f t="shared" si="0"/>
        <v>1</v>
      </c>
      <c r="D6" s="1" t="str">
        <f t="shared" ca="1" si="1"/>
        <v>=LAMBDA(x,y, IF(ISOMITTED(x), 99, x) + y)(3, 5)</v>
      </c>
    </row>
    <row r="7" spans="1:6">
      <c r="A7">
        <f>ERROR.TYPE(F7)</f>
        <v>3</v>
      </c>
      <c r="B7">
        <v>3</v>
      </c>
      <c r="C7" t="b">
        <f t="shared" si="0"/>
        <v>1</v>
      </c>
      <c r="D7" s="1" t="str">
        <f ca="1">_xlfn.FORMULATEXT(F7)</f>
        <v>=LAMBDA(x,y, ISOMITTED(y))(5)</v>
      </c>
      <c r="F7" t="e" cm="1" vm="1">
        <f t="array" ref="F7">_xlfn.LAMBDA(_xlpm.x,_xlpm.y, _xlfn.ISOMITTED(_xlpm.y))(5)</f>
        <v>#VALUE!</v>
      </c>
    </row>
    <row r="8" spans="1:6">
      <c r="A8" cm="1">
        <f t="array" ref="A8">_xlfn.LAMBDA(_xlpm.a,_xlpm.b,_xlpm.c, IF(_xlfn.ISOMITTED(_xlpm.b), -1, _xlpm.b))(1, , 3)</f>
        <v>-1</v>
      </c>
      <c r="B8">
        <v>-1</v>
      </c>
      <c r="C8" t="b">
        <f t="shared" si="0"/>
        <v>1</v>
      </c>
      <c r="D8" s="1" t="str">
        <f t="shared" ca="1" si="1"/>
        <v>=LAMBDA(a,b,c, IF(ISOMITTED(b), -1, b))(1, , 3)</v>
      </c>
    </row>
    <row r="9" spans="1:6">
      <c r="A9" s="3" cm="1">
        <f t="array" ref="A9">_xlfn.LAMBDA(_xlop.x, IF(_xlfn.ISOMITTED(_xlpm.x),12,5))(1)</f>
        <v>5</v>
      </c>
      <c r="B9">
        <v>5</v>
      </c>
      <c r="C9" t="b">
        <f t="shared" si="0"/>
        <v>1</v>
      </c>
      <c r="D9" s="1" t="str">
        <f ca="1">_xlfn.FORMULATEXT(A9)</f>
        <v>=LAMBDA([x], IF(ISOMITTED(x),12,5))(1)</v>
      </c>
      <c r="E9" t="s">
        <v>60</v>
      </c>
    </row>
    <row r="10" spans="1:6">
      <c r="A10" cm="1">
        <f t="array" ref="A10">_xlfn.LAMBDA(_xlop.x, IF(_xlfn.ISOMITTED(_xlpm.x),12,5))()</f>
        <v>12</v>
      </c>
      <c r="B10">
        <v>12</v>
      </c>
      <c r="C10" t="b">
        <f t="shared" si="0"/>
        <v>1</v>
      </c>
      <c r="D10" s="1" t="str">
        <f ca="1">_xlfn.FORMULATEXT(A10)</f>
        <v>=LAMBDA([x], IF(ISOMITTED(x),12,5))()</v>
      </c>
      <c r="E10" t="s">
        <v>61</v>
      </c>
    </row>
    <row r="11" spans="1:6">
      <c r="A11">
        <f>ERROR.TYPE(F11)</f>
        <v>3</v>
      </c>
      <c r="B11">
        <v>3</v>
      </c>
      <c r="C11" t="b">
        <f t="shared" si="0"/>
        <v>1</v>
      </c>
      <c r="D11" s="1" t="str">
        <f ca="1">_xlfn.FORMULATEXT(F11)</f>
        <v>=LAMBDA(x, IF(ISOMITTED(x),12,5))()</v>
      </c>
      <c r="E11" t="s">
        <v>62</v>
      </c>
      <c r="F11" t="e" cm="1" vm="2">
        <f t="array" ref="F11">_xlfn.LAMBDA(_xlpm.x, IF(_xlfn.ISOMITTED(_xlpm.x),12,5))()</f>
        <v>#VALUE!</v>
      </c>
    </row>
  </sheetData>
  <conditionalFormatting sqref="C2:C11">
    <cfRule type="cellIs" dxfId="6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AAD1-330B-4374-B680-19CC9EB335F7}">
  <dimension ref="A1:H14"/>
  <sheetViews>
    <sheetView workbookViewId="0">
      <selection activeCell="C2" sqref="C2:C14"/>
    </sheetView>
  </sheetViews>
  <sheetFormatPr defaultRowHeight="15"/>
  <cols>
    <col min="1" max="1" width="12.140625" customWidth="1"/>
    <col min="2" max="2" width="9.7109375" bestFit="1" customWidth="1"/>
    <col min="3" max="3" width="23.28515625" bestFit="1" customWidth="1"/>
    <col min="4" max="4" width="86" bestFit="1" customWidth="1"/>
    <col min="5" max="5" width="31.7109375" bestFit="1" customWidth="1"/>
  </cols>
  <sheetData>
    <row r="1" spans="1:8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8">
      <c r="A2">
        <f>SUM(_xlfn.BYCOL({1,2,3;4,5,6}, _xlfn.LAMBDA(_xlpm.c, SUM(_xlpm.c))))</f>
        <v>21</v>
      </c>
      <c r="B2">
        <v>21</v>
      </c>
      <c r="C2" t="b">
        <f t="shared" ref="C2:C14" si="0">A2=B2</f>
        <v>1</v>
      </c>
      <c r="D2" s="1" t="str">
        <f ca="1">_xlfn.FORMULATEXT(A2)</f>
        <v>=SUM(BYCOL({1,2,3;4,5,6}, LAMBDA(c, SUM(c))))</v>
      </c>
      <c r="F2">
        <v>11</v>
      </c>
      <c r="G2">
        <v>22</v>
      </c>
      <c r="H2">
        <v>33</v>
      </c>
    </row>
    <row r="3" spans="1:8">
      <c r="A3" cm="1">
        <f t="array" ref="A3">_xlfn.BYCOL({1;2;3}, _xlfn.LAMBDA(_xlpm.c, SUM(_xlpm.c)))</f>
        <v>6</v>
      </c>
      <c r="B3">
        <v>6</v>
      </c>
      <c r="C3" t="b">
        <f t="shared" si="0"/>
        <v>1</v>
      </c>
      <c r="D3" s="1" t="str">
        <f t="shared" ref="D3:D9" ca="1" si="1">_xlfn.FORMULATEXT(A3)</f>
        <v>=BYCOL({1;2;3}, LAMBDA(c, SUM(c)))</v>
      </c>
      <c r="F3">
        <v>44</v>
      </c>
      <c r="G3">
        <v>55</v>
      </c>
      <c r="H3">
        <v>66</v>
      </c>
    </row>
    <row r="4" spans="1:8">
      <c r="A4" cm="1">
        <f t="array" ref="A4:A6">TRANSPOSE(_xlfn.BYCOL({1,2,3;10,20,30}, _xlfn.LAMBDA(_xlpm.c, SUM(_xlpm.c))))</f>
        <v>11</v>
      </c>
      <c r="B4">
        <v>11</v>
      </c>
      <c r="C4" t="b">
        <f t="shared" si="0"/>
        <v>1</v>
      </c>
      <c r="D4" s="1" t="str">
        <f t="shared" ca="1" si="1"/>
        <v>=TRANSPOSE(BYCOL({1,2,3;10,20,30}, LAMBDA(c, SUM(c))))</v>
      </c>
      <c r="F4">
        <v>77</v>
      </c>
      <c r="G4">
        <v>88</v>
      </c>
      <c r="H4">
        <v>99</v>
      </c>
    </row>
    <row r="5" spans="1:8">
      <c r="A5">
        <v>22</v>
      </c>
      <c r="B5">
        <v>22</v>
      </c>
      <c r="C5" t="b">
        <f t="shared" si="0"/>
        <v>1</v>
      </c>
      <c r="D5" s="1"/>
    </row>
    <row r="6" spans="1:8">
      <c r="A6">
        <v>33</v>
      </c>
      <c r="B6">
        <v>33</v>
      </c>
      <c r="C6" t="b">
        <f t="shared" si="0"/>
        <v>1</v>
      </c>
      <c r="D6" s="1"/>
    </row>
    <row r="7" spans="1:8">
      <c r="A7" cm="1">
        <f t="array" ref="A7">_xlfn.BYCOL(100, _xlfn.LAMBDA(_xlpm.c, SUM(_xlpm.c)))</f>
        <v>100</v>
      </c>
      <c r="B7">
        <v>100</v>
      </c>
      <c r="C7" t="b">
        <f t="shared" si="0"/>
        <v>1</v>
      </c>
      <c r="D7" s="1" t="str">
        <f t="shared" ca="1" si="1"/>
        <v>=BYCOL(100, LAMBDA(c, SUM(c)))</v>
      </c>
    </row>
    <row r="8" spans="1:8">
      <c r="A8" t="str" cm="1">
        <f t="array" ref="A8">_xlfn.BYCOL("ABC", _xlfn.LAMBDA(_xlpm.c, _xlpm.c))</f>
        <v>ABC</v>
      </c>
      <c r="B8" t="s">
        <v>63</v>
      </c>
      <c r="C8" t="b">
        <f t="shared" si="0"/>
        <v>1</v>
      </c>
      <c r="D8" s="1" t="str">
        <f t="shared" ca="1" si="1"/>
        <v>=BYCOL("ABC", LAMBDA(c, c))</v>
      </c>
    </row>
    <row r="9" spans="1:8">
      <c r="A9" s="3" t="str" cm="1">
        <f t="array" ref="A9:A11">TRANSPOSE(_xlfn.BYCOL({"A","B","C";"D","E","F"}, _xlfn.LAMBDA(_xlpm.c, _xlfn.CONCAT(_xlpm.c))))</f>
        <v>AD</v>
      </c>
      <c r="B9" t="s">
        <v>64</v>
      </c>
      <c r="C9" t="b">
        <f t="shared" si="0"/>
        <v>1</v>
      </c>
      <c r="D9" s="1" t="str">
        <f t="shared" ca="1" si="1"/>
        <v>=TRANSPOSE(BYCOL({"A","B","C";"D","E","F"}, LAMBDA(c, CONCAT(c))))</v>
      </c>
    </row>
    <row r="10" spans="1:8">
      <c r="A10" t="str">
        <v>BE</v>
      </c>
      <c r="B10" t="s">
        <v>65</v>
      </c>
      <c r="C10" t="b">
        <f t="shared" si="0"/>
        <v>1</v>
      </c>
      <c r="D10" s="1"/>
    </row>
    <row r="11" spans="1:8">
      <c r="A11" t="str">
        <v>CF</v>
      </c>
      <c r="B11" t="s">
        <v>66</v>
      </c>
      <c r="C11" t="b">
        <f t="shared" si="0"/>
        <v>1</v>
      </c>
      <c r="D11" s="6"/>
    </row>
    <row r="12" spans="1:8">
      <c r="A12">
        <f>F12</f>
        <v>132</v>
      </c>
      <c r="B12">
        <v>132</v>
      </c>
      <c r="C12" t="b">
        <f t="shared" si="0"/>
        <v>1</v>
      </c>
      <c r="D12" s="1" t="str">
        <f ca="1">_xlfn.FORMULATEXT(F12)</f>
        <v>=BYCOL(F2:H4, LAMBDA(c, SUM(c)))</v>
      </c>
      <c r="E12" t="s">
        <v>67</v>
      </c>
      <c r="F12" cm="1">
        <f t="array" ref="F12:H12">_xlfn.BYCOL(F2:H4, _xlfn.LAMBDA(_xlpm.c, SUM(_xlpm.c)))</f>
        <v>132</v>
      </c>
      <c r="G12">
        <v>165</v>
      </c>
      <c r="H12">
        <v>198</v>
      </c>
    </row>
    <row r="13" spans="1:8">
      <c r="A13">
        <f>G12</f>
        <v>165</v>
      </c>
      <c r="B13">
        <v>165</v>
      </c>
      <c r="C13" t="b">
        <f t="shared" si="0"/>
        <v>1</v>
      </c>
    </row>
    <row r="14" spans="1:8">
      <c r="A14">
        <f>H12</f>
        <v>198</v>
      </c>
      <c r="B14">
        <v>198</v>
      </c>
      <c r="C14" t="b">
        <f t="shared" si="0"/>
        <v>1</v>
      </c>
    </row>
  </sheetData>
  <conditionalFormatting sqref="C2:C14">
    <cfRule type="cellIs" dxfId="5" priority="1" operator="not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A135-F1D7-4292-81A0-1877087BD36C}">
  <dimension ref="A1:H14"/>
  <sheetViews>
    <sheetView workbookViewId="0">
      <selection activeCell="C2" sqref="C2:C14"/>
    </sheetView>
  </sheetViews>
  <sheetFormatPr defaultRowHeight="15"/>
  <cols>
    <col min="1" max="1" width="10.5703125" customWidth="1"/>
    <col min="2" max="2" width="9.7109375" bestFit="1" customWidth="1"/>
    <col min="3" max="3" width="23.28515625" bestFit="1" customWidth="1"/>
    <col min="4" max="4" width="71.85546875" bestFit="1" customWidth="1"/>
    <col min="5" max="5" width="32" bestFit="1" customWidth="1"/>
  </cols>
  <sheetData>
    <row r="1" spans="1:8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8">
      <c r="A2">
        <f>SUM(_xlfn.BYROW({1,2,3;4,5,6}, _xlfn.LAMBDA(_xlpm.c, SUM(_xlpm.c))))</f>
        <v>21</v>
      </c>
      <c r="B2">
        <v>21</v>
      </c>
      <c r="C2" t="b">
        <f t="shared" ref="C2:C14" si="0">A2=B2</f>
        <v>1</v>
      </c>
      <c r="D2" s="1" t="str">
        <f ca="1">_xlfn.FORMULATEXT(A2)</f>
        <v>=SUM(BYROW({1,2,3;4,5,6}, LAMBDA(c, SUM(c))))</v>
      </c>
      <c r="F2">
        <v>11</v>
      </c>
      <c r="G2">
        <v>22</v>
      </c>
      <c r="H2">
        <v>33</v>
      </c>
    </row>
    <row r="3" spans="1:8">
      <c r="A3" cm="1">
        <f t="array" ref="A3">_xlfn.BYROW({1,2,3}, _xlfn.LAMBDA(_xlpm.c, SUM(_xlpm.c)))</f>
        <v>6</v>
      </c>
      <c r="B3">
        <v>6</v>
      </c>
      <c r="C3" t="b">
        <f t="shared" si="0"/>
        <v>1</v>
      </c>
      <c r="D3" s="1" t="str">
        <f t="shared" ref="D3:D9" ca="1" si="1">_xlfn.FORMULATEXT(A3)</f>
        <v>=BYROW({1,2,3}, LAMBDA(c, SUM(c)))</v>
      </c>
      <c r="F3">
        <v>44</v>
      </c>
      <c r="G3">
        <v>55</v>
      </c>
      <c r="H3">
        <v>66</v>
      </c>
    </row>
    <row r="4" spans="1:8">
      <c r="A4" cm="1">
        <f t="array" ref="A4:A5">_xlfn.BYROW({1,2,3;10,20,30}, _xlfn.LAMBDA(_xlpm.c, SUM(_xlpm.c)))</f>
        <v>6</v>
      </c>
      <c r="B4">
        <v>6</v>
      </c>
      <c r="C4" t="b">
        <f t="shared" si="0"/>
        <v>1</v>
      </c>
      <c r="D4" s="1" t="str">
        <f t="shared" ca="1" si="1"/>
        <v>=BYROW({1,2,3;10,20,30}, LAMBDA(c, SUM(c)))</v>
      </c>
      <c r="F4">
        <v>77</v>
      </c>
      <c r="G4">
        <v>88</v>
      </c>
      <c r="H4">
        <v>99</v>
      </c>
    </row>
    <row r="5" spans="1:8">
      <c r="A5">
        <v>60</v>
      </c>
      <c r="B5">
        <v>60</v>
      </c>
      <c r="C5" t="b">
        <f t="shared" si="0"/>
        <v>1</v>
      </c>
      <c r="D5" s="1"/>
    </row>
    <row r="6" spans="1:8">
      <c r="A6" cm="1">
        <f t="array" ref="A6">_xlfn.BYROW(100, _xlfn.LAMBDA(_xlpm.c, SUM(_xlpm.c)))</f>
        <v>100</v>
      </c>
      <c r="B6">
        <v>100</v>
      </c>
      <c r="C6" t="b">
        <f t="shared" si="0"/>
        <v>1</v>
      </c>
      <c r="D6" s="1" t="str">
        <f t="shared" ca="1" si="1"/>
        <v>=BYROW(100, LAMBDA(c, SUM(c)))</v>
      </c>
    </row>
    <row r="7" spans="1:8">
      <c r="A7" t="str" cm="1">
        <f t="array" ref="A7">_xlfn.BYROW("ABC", _xlfn.LAMBDA(_xlpm.c, _xlpm.c))</f>
        <v>ABC</v>
      </c>
      <c r="B7" t="s">
        <v>63</v>
      </c>
      <c r="C7" t="b">
        <f t="shared" si="0"/>
        <v>1</v>
      </c>
      <c r="D7" s="1" t="str">
        <f t="shared" ca="1" si="1"/>
        <v>=BYROW("ABC", LAMBDA(c, c))</v>
      </c>
    </row>
    <row r="8" spans="1:8">
      <c r="A8" s="3" t="str" cm="1">
        <f t="array" ref="A8:A9">_xlfn.BYROW({"A","B","C";"D","E","F"}, _xlfn.LAMBDA(_xlpm.c, _xlfn.CONCAT(_xlpm.c)))</f>
        <v>ABC</v>
      </c>
      <c r="B8" t="s">
        <v>63</v>
      </c>
      <c r="C8" t="b">
        <f t="shared" si="0"/>
        <v>1</v>
      </c>
      <c r="D8" s="1" t="str">
        <f t="shared" ca="1" si="1"/>
        <v>=BYROW({"A","B","C";"D","E","F"}, LAMBDA(c, CONCAT(c)))</v>
      </c>
    </row>
    <row r="9" spans="1:8">
      <c r="A9" t="str">
        <v>DEF</v>
      </c>
      <c r="B9" t="s">
        <v>68</v>
      </c>
      <c r="C9" t="b">
        <f t="shared" si="0"/>
        <v>1</v>
      </c>
      <c r="D9" s="1"/>
    </row>
    <row r="10" spans="1:8">
      <c r="A10" cm="1">
        <f t="array" ref="A10:A12">_xlfn.BYROW(F2:H4, _xlfn.LAMBDA(_xlpm.c, SUM(_xlpm.c)))</f>
        <v>66</v>
      </c>
      <c r="B10">
        <v>66</v>
      </c>
      <c r="C10" t="b">
        <f t="shared" si="0"/>
        <v>1</v>
      </c>
      <c r="D10" s="1" t="str">
        <f ca="1">_xlfn.FORMULATEXT(A10)</f>
        <v>=BYROW(F2:H4, LAMBDA(c, SUM(c)))</v>
      </c>
      <c r="E10" t="s">
        <v>69</v>
      </c>
    </row>
    <row r="11" spans="1:8">
      <c r="A11">
        <v>165</v>
      </c>
      <c r="B11">
        <v>165</v>
      </c>
      <c r="C11" t="b">
        <f t="shared" si="0"/>
        <v>1</v>
      </c>
    </row>
    <row r="12" spans="1:8">
      <c r="A12">
        <v>264</v>
      </c>
      <c r="B12">
        <v>264</v>
      </c>
      <c r="C12" t="b">
        <f t="shared" si="0"/>
        <v>1</v>
      </c>
    </row>
    <row r="13" spans="1:8">
      <c r="A13" cm="1">
        <f t="array" ref="A13:A14">_xlfn.BYROW({1,2;3,4}, _xlfn.LAMBDA(_xlpm.r, _xlfn.REDUCE(0, _xlpm.r, _xlfn.LAMBDA(_xlpm.a,_xlpm.v, _xlpm.a + _xlpm.v))))</f>
        <v>3</v>
      </c>
      <c r="B13">
        <v>3</v>
      </c>
      <c r="C13" t="b">
        <f t="shared" si="0"/>
        <v>1</v>
      </c>
      <c r="D13" s="1" t="str">
        <f ca="1">_xlfn.FORMULATEXT(A13)</f>
        <v>=BYROW({1,2;3,4}, LAMBDA(r, REDUCE(0, r, LAMBDA(a,v, a + v))))</v>
      </c>
    </row>
    <row r="14" spans="1:8">
      <c r="A14">
        <v>7</v>
      </c>
      <c r="B14">
        <v>7</v>
      </c>
      <c r="C14" t="b">
        <f t="shared" si="0"/>
        <v>1</v>
      </c>
    </row>
  </sheetData>
  <conditionalFormatting sqref="C2:C14">
    <cfRule type="cellIs" dxfId="4" priority="1" operator="notEqual">
      <formula>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7ED71-DF37-4E12-B0D5-80D8154AC7BB}">
  <dimension ref="A1:G13"/>
  <sheetViews>
    <sheetView workbookViewId="0">
      <selection activeCell="C2" sqref="C2:C13"/>
    </sheetView>
  </sheetViews>
  <sheetFormatPr defaultRowHeight="15"/>
  <cols>
    <col min="1" max="1" width="12" customWidth="1"/>
    <col min="2" max="2" width="9.7109375" bestFit="1" customWidth="1"/>
    <col min="3" max="3" width="23.28515625" bestFit="1" customWidth="1"/>
    <col min="4" max="4" width="68" bestFit="1" customWidth="1"/>
    <col min="5" max="5" width="10.7109375" bestFit="1" customWidth="1"/>
  </cols>
  <sheetData>
    <row r="1" spans="1:7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70</v>
      </c>
    </row>
    <row r="2" spans="1:7">
      <c r="A2">
        <f>F2</f>
        <v>11</v>
      </c>
      <c r="B2">
        <v>11</v>
      </c>
      <c r="C2" t="b">
        <f>A2=B2</f>
        <v>1</v>
      </c>
      <c r="D2" s="7" t="str">
        <f ca="1">_xlfn.FORMULATEXT(F2)</f>
        <v>=TRANSPOSE(MAKEARRAY(2, 3, LAMBDA(r,c, r * 10 + c)))</v>
      </c>
      <c r="F2" cm="1">
        <f t="array" ref="F2:G4">TRANSPOSE(_xlfn.MAKEARRAY(2, 3, _xlfn.LAMBDA(_xlpm.r,_xlpm.c, _xlpm.r * 10 + _xlpm.c)))</f>
        <v>11</v>
      </c>
      <c r="G2">
        <v>21</v>
      </c>
    </row>
    <row r="3" spans="1:7">
      <c r="A3">
        <f>F3</f>
        <v>12</v>
      </c>
      <c r="B3">
        <v>12</v>
      </c>
      <c r="C3" t="b">
        <f t="shared" ref="C3:C7" si="0">A3=B3</f>
        <v>1</v>
      </c>
      <c r="D3" s="7"/>
      <c r="F3">
        <v>12</v>
      </c>
      <c r="G3">
        <v>22</v>
      </c>
    </row>
    <row r="4" spans="1:7">
      <c r="A4">
        <f>F4</f>
        <v>13</v>
      </c>
      <c r="B4">
        <v>13</v>
      </c>
      <c r="C4" t="b">
        <f t="shared" si="0"/>
        <v>1</v>
      </c>
      <c r="D4" s="7"/>
      <c r="F4">
        <v>13</v>
      </c>
      <c r="G4">
        <v>23</v>
      </c>
    </row>
    <row r="5" spans="1:7">
      <c r="A5">
        <f>G2</f>
        <v>21</v>
      </c>
      <c r="B5">
        <v>21</v>
      </c>
      <c r="C5" t="b">
        <f t="shared" si="0"/>
        <v>1</v>
      </c>
      <c r="D5" s="7"/>
    </row>
    <row r="6" spans="1:7">
      <c r="A6">
        <f>G3</f>
        <v>22</v>
      </c>
      <c r="B6">
        <v>22</v>
      </c>
      <c r="C6" t="b">
        <f t="shared" si="0"/>
        <v>1</v>
      </c>
      <c r="D6" s="7"/>
    </row>
    <row r="7" spans="1:7">
      <c r="A7">
        <f>G4</f>
        <v>23</v>
      </c>
      <c r="B7">
        <v>23</v>
      </c>
      <c r="C7" t="b">
        <f t="shared" si="0"/>
        <v>1</v>
      </c>
      <c r="D7" s="7"/>
    </row>
    <row r="8" spans="1:7">
      <c r="A8" cm="1">
        <f t="array" ref="A8">_xlfn.MAKEARRAY(1, 1, _xlfn.LAMBDA(_xlpm.r,_xlpm.c, _xlpm.r + _xlpm.c))</f>
        <v>2</v>
      </c>
      <c r="B8">
        <v>2</v>
      </c>
      <c r="C8" t="b">
        <f>A8=B8</f>
        <v>1</v>
      </c>
      <c r="D8" s="1" t="str">
        <f ca="1">_xlfn.FORMULATEXT(A8)</f>
        <v>=MAKEARRAY(1, 1, LAMBDA(r,c, r + c))</v>
      </c>
    </row>
    <row r="9" spans="1:7">
      <c r="A9">
        <f>ERROR.TYPE(F9)</f>
        <v>3</v>
      </c>
      <c r="B9">
        <v>3</v>
      </c>
      <c r="C9" t="b">
        <f>A9=B9</f>
        <v>1</v>
      </c>
      <c r="D9" s="1" t="str">
        <f ca="1">_xlfn.FORMULATEXT(F9)</f>
        <v>=MAKEARRAY(0, 3, LAMBDA(r,c, 1))</v>
      </c>
      <c r="F9" t="e" cm="1">
        <f t="array" ref="F9">_xlfn.MAKEARRAY(0, 3, _xlfn.LAMBDA(_xlpm.r,_xlpm.c, 1))</f>
        <v>#VALUE!</v>
      </c>
    </row>
    <row r="10" spans="1:7">
      <c r="A10" cm="1">
        <f t="array" ref="A10:A11">_xlfn.MAKEARRAY(2, 1, _xlfn.LAMBDA(_xlpm.r,_xlpm.c, _xlpm.r + _xlpm.c))</f>
        <v>2</v>
      </c>
      <c r="B10">
        <v>2</v>
      </c>
      <c r="C10" t="b">
        <f>A10=B10</f>
        <v>1</v>
      </c>
      <c r="D10" s="1" t="str">
        <f ca="1">_xlfn.FORMULATEXT(A10)</f>
        <v>=MAKEARRAY(2, 1, LAMBDA(r,c, r + c))</v>
      </c>
    </row>
    <row r="11" spans="1:7">
      <c r="A11">
        <v>3</v>
      </c>
      <c r="B11">
        <v>3</v>
      </c>
      <c r="C11" t="b">
        <f>A11=B11</f>
        <v>1</v>
      </c>
    </row>
    <row r="12" spans="1:7">
      <c r="A12" cm="1">
        <f t="array" ref="A12:A13">_xlfn.MAKEARRAY(2, 1, _xlfn.LAMBDA(_xlpm.r,_xlpm.c, 6))</f>
        <v>6</v>
      </c>
      <c r="B12">
        <v>6</v>
      </c>
      <c r="C12" t="b">
        <f>A12=B12</f>
        <v>1</v>
      </c>
      <c r="D12" s="1" t="str">
        <f ca="1">_xlfn.FORMULATEXT(A12)</f>
        <v>=MAKEARRAY(2, 1, LAMBDA(r,c, 6))</v>
      </c>
    </row>
    <row r="13" spans="1:7">
      <c r="A13">
        <v>6</v>
      </c>
      <c r="B13">
        <v>6</v>
      </c>
      <c r="C13" t="b">
        <f>A13=B13</f>
        <v>1</v>
      </c>
    </row>
  </sheetData>
  <conditionalFormatting sqref="C2:C13">
    <cfRule type="cellIs" dxfId="3" priority="1" operator="notEqual">
      <formula>TRUE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895F7-4E9F-442E-ADEB-EE55261ADDAB}">
  <dimension ref="A1:F20"/>
  <sheetViews>
    <sheetView workbookViewId="0">
      <selection activeCell="C2" sqref="C2:C20"/>
    </sheetView>
  </sheetViews>
  <sheetFormatPr defaultRowHeight="15"/>
  <cols>
    <col min="1" max="1" width="12" customWidth="1"/>
    <col min="2" max="2" width="9.7109375" bestFit="1" customWidth="1"/>
    <col min="3" max="3" width="23.28515625" bestFit="1" customWidth="1"/>
    <col min="4" max="4" width="73.140625" bestFit="1" customWidth="1"/>
    <col min="5" max="5" width="23.85546875" bestFit="1" customWidth="1"/>
  </cols>
  <sheetData>
    <row r="1" spans="1:6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t="s">
        <v>18</v>
      </c>
    </row>
    <row r="2" spans="1:6">
      <c r="A2" cm="1">
        <f t="array" ref="A2:A4">_xlfn.MAP({1;2;3}, _xlfn.LAMBDA(_xlpm.x, _xlpm.x * _xlpm.x))</f>
        <v>1</v>
      </c>
      <c r="B2">
        <v>1</v>
      </c>
      <c r="C2" t="b">
        <f>A2=B2</f>
        <v>1</v>
      </c>
      <c r="D2" s="7" t="str">
        <f ca="1">_xlfn.FORMULATEXT(A2)</f>
        <v>=MAP({1;2;3}, LAMBDA(x, x * x))</v>
      </c>
      <c r="F2">
        <v>2</v>
      </c>
    </row>
    <row r="3" spans="1:6">
      <c r="A3">
        <v>4</v>
      </c>
      <c r="B3">
        <v>4</v>
      </c>
      <c r="C3" t="b">
        <f>A3=B3</f>
        <v>1</v>
      </c>
      <c r="D3" s="7"/>
      <c r="F3">
        <v>5</v>
      </c>
    </row>
    <row r="4" spans="1:6">
      <c r="A4">
        <v>9</v>
      </c>
      <c r="B4">
        <v>9</v>
      </c>
      <c r="C4" t="b">
        <f>A4=B4</f>
        <v>1</v>
      </c>
      <c r="D4" s="7"/>
      <c r="F4">
        <v>2</v>
      </c>
    </row>
    <row r="5" spans="1:6">
      <c r="A5" cm="1">
        <f t="array" ref="A5:A7">_xlfn.MAP({1;2;3}, {10;20;30}, _xlfn.LAMBDA(_xlpm.a,_xlpm.b, _xlpm.a + _xlpm.b))</f>
        <v>11</v>
      </c>
      <c r="B5">
        <v>11</v>
      </c>
      <c r="C5" t="b">
        <f>A5=B5</f>
        <v>1</v>
      </c>
      <c r="D5" s="7" t="str">
        <f ca="1">_xlfn.FORMULATEXT(A5)</f>
        <v>=MAP({1;2;3}, {10;20;30}, LAMBDA(a,b, a + b))</v>
      </c>
      <c r="F5">
        <v>1</v>
      </c>
    </row>
    <row r="6" spans="1:6">
      <c r="A6">
        <v>22</v>
      </c>
      <c r="B6">
        <v>22</v>
      </c>
      <c r="C6" t="b">
        <f>A6=B6</f>
        <v>1</v>
      </c>
      <c r="D6" s="7"/>
    </row>
    <row r="7" spans="1:6">
      <c r="A7">
        <v>33</v>
      </c>
      <c r="B7">
        <v>33</v>
      </c>
      <c r="C7" t="b">
        <f>A7=B7</f>
        <v>1</v>
      </c>
      <c r="D7" s="7"/>
    </row>
    <row r="8" spans="1:6">
      <c r="A8" t="str" cm="1">
        <f t="array" ref="A8:A9">_xlfn.MAP({"a";"b"}, _xlfn.LAMBDA(_xlpm.x, UPPER(_xlpm.x)))</f>
        <v>A</v>
      </c>
      <c r="B8" t="s">
        <v>71</v>
      </c>
      <c r="C8" t="b">
        <f>A8=B8</f>
        <v>1</v>
      </c>
      <c r="D8" s="7" t="str">
        <f ca="1">_xlfn.FORMULATEXT(A8)</f>
        <v>=MAP({"a";"b"}, LAMBDA(x, UPPER(x)))</v>
      </c>
    </row>
    <row r="9" spans="1:6">
      <c r="A9" t="str">
        <v>B</v>
      </c>
      <c r="B9" t="s">
        <v>72</v>
      </c>
      <c r="C9" t="b">
        <f>A9=B9</f>
        <v>1</v>
      </c>
      <c r="D9" s="7"/>
    </row>
    <row r="10" spans="1:6">
      <c r="A10" cm="1">
        <f t="array" ref="A10:A13">_xlfn.MAP(F2:F5, _xlfn.LAMBDA(_xlpm.x, _xlpm.x * _xlpm.x))</f>
        <v>4</v>
      </c>
      <c r="B10">
        <v>4</v>
      </c>
      <c r="C10" t="b">
        <f t="shared" ref="C10:C20" si="0">A10=B10</f>
        <v>1</v>
      </c>
      <c r="D10" s="7" t="str">
        <f ca="1">_xlfn.FORMULATEXT(A10)</f>
        <v>=MAP(F2:F5, LAMBDA(x, x * x))</v>
      </c>
      <c r="E10" t="s">
        <v>73</v>
      </c>
    </row>
    <row r="11" spans="1:6">
      <c r="A11">
        <v>25</v>
      </c>
      <c r="B11">
        <v>25</v>
      </c>
      <c r="C11" t="b">
        <f t="shared" si="0"/>
        <v>1</v>
      </c>
    </row>
    <row r="12" spans="1:6">
      <c r="A12">
        <v>4</v>
      </c>
      <c r="B12">
        <v>4</v>
      </c>
      <c r="C12" t="b">
        <f t="shared" si="0"/>
        <v>1</v>
      </c>
    </row>
    <row r="13" spans="1:6">
      <c r="A13">
        <v>1</v>
      </c>
      <c r="B13">
        <v>1</v>
      </c>
      <c r="C13" t="b">
        <f t="shared" si="0"/>
        <v>1</v>
      </c>
      <c r="D13" s="7"/>
    </row>
    <row r="14" spans="1:6">
      <c r="A14" cm="1">
        <f t="array" ref="A14:A16">_xlfn.LET(_xlpm.double, _xlfn.LAMBDA(_xlpm.x, _xlpm.x * 2), _xlfn.MAP({1;2;3}, _xlpm.double))</f>
        <v>2</v>
      </c>
      <c r="B14">
        <v>2</v>
      </c>
      <c r="C14" t="b">
        <f t="shared" si="0"/>
        <v>1</v>
      </c>
      <c r="D14" s="7" t="str">
        <f ca="1">_xlfn.FORMULATEXT(A14)</f>
        <v>=LET(double, LAMBDA(x, x * 2), MAP({1;2;3}, double))</v>
      </c>
    </row>
    <row r="15" spans="1:6">
      <c r="A15">
        <v>4</v>
      </c>
      <c r="B15">
        <v>4</v>
      </c>
      <c r="C15" t="b">
        <f t="shared" si="0"/>
        <v>1</v>
      </c>
    </row>
    <row r="16" spans="1:6">
      <c r="A16">
        <v>6</v>
      </c>
      <c r="B16">
        <v>6</v>
      </c>
      <c r="C16" t="b">
        <f t="shared" si="0"/>
        <v>1</v>
      </c>
    </row>
    <row r="17" spans="1:6">
      <c r="A17" cm="1">
        <f t="array" ref="A17">SUM(IFERROR(_xlfn.MAP({1,0,2}, _xlfn.LAMBDA(_xlpm.x, 1 / _xlpm.x)), 0))</f>
        <v>1.5</v>
      </c>
      <c r="B17">
        <v>1.5</v>
      </c>
      <c r="C17" t="b">
        <f t="shared" si="0"/>
        <v>1</v>
      </c>
      <c r="D17" s="7" t="str">
        <f ca="1">_xlfn.FORMULATEXT(A17)</f>
        <v>=SUM(IFERROR(MAP({1,0,2}, LAMBDA(x, 1 / x)), 0))</v>
      </c>
    </row>
    <row r="18" spans="1:6">
      <c r="A18">
        <f>F18</f>
        <v>2</v>
      </c>
      <c r="B18">
        <v>2</v>
      </c>
      <c r="C18" t="b">
        <f t="shared" si="0"/>
        <v>1</v>
      </c>
      <c r="D18" s="7" t="str">
        <f ca="1">_xlfn.FORMULATEXT(F18)</f>
        <v>=MAP({1;2;3}, {1;2}, LAMBDA(a,b, a + b))</v>
      </c>
      <c r="F18" cm="1">
        <f t="array" ref="F18:F20">_xlfn.MAP({1;2;3}, {1;2}, _xlfn.LAMBDA(_xlpm.a,_xlpm.b, _xlpm.a + _xlpm.b))</f>
        <v>2</v>
      </c>
    </row>
    <row r="19" spans="1:6">
      <c r="A19">
        <f>F19</f>
        <v>4</v>
      </c>
      <c r="B19">
        <v>4</v>
      </c>
      <c r="C19" t="b">
        <f t="shared" si="0"/>
        <v>1</v>
      </c>
      <c r="F19">
        <v>4</v>
      </c>
    </row>
    <row r="20" spans="1:6">
      <c r="A20">
        <f>ERROR.TYPE(F20)</f>
        <v>7</v>
      </c>
      <c r="B20">
        <v>7</v>
      </c>
      <c r="C20" t="b">
        <f t="shared" si="0"/>
        <v>1</v>
      </c>
      <c r="D20" s="7"/>
      <c r="F20" t="e">
        <v>#N/A</v>
      </c>
    </row>
  </sheetData>
  <conditionalFormatting sqref="C2:C20">
    <cfRule type="cellIs" dxfId="2" priority="1" operator="notEqual">
      <formula>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DB70-0194-415F-9EDC-5C927CB1F6B2}">
  <dimension ref="A1:G11"/>
  <sheetViews>
    <sheetView workbookViewId="0">
      <selection activeCell="C5" sqref="C5"/>
    </sheetView>
  </sheetViews>
  <sheetFormatPr defaultRowHeight="15"/>
  <cols>
    <col min="1" max="1" width="12" customWidth="1"/>
    <col min="2" max="2" width="9.7109375" bestFit="1" customWidth="1"/>
    <col min="3" max="3" width="23.28515625" bestFit="1" customWidth="1"/>
    <col min="4" max="4" width="78.28515625" bestFit="1" customWidth="1"/>
    <col min="5" max="5" width="21.7109375" bestFit="1" customWidth="1"/>
  </cols>
  <sheetData>
    <row r="1" spans="1:7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74</v>
      </c>
      <c r="G1" s="4" t="s">
        <v>75</v>
      </c>
    </row>
    <row r="2" spans="1:7">
      <c r="A2" cm="1">
        <f t="array" ref="A2">_xlfn.REDUCE(0, {1,2,3,4}, _xlfn.LAMBDA(_xlpm.acc,_xlpm.val, _xlpm.acc + _xlpm.val))</f>
        <v>10</v>
      </c>
      <c r="B2">
        <v>10</v>
      </c>
      <c r="C2" t="b">
        <f>A2=B2</f>
        <v>1</v>
      </c>
      <c r="D2" s="1" t="str">
        <f ca="1">_xlfn.FORMULATEXT(A2)</f>
        <v>=REDUCE(0, {1,2,3,4}, LAMBDA(acc,val, acc + val))</v>
      </c>
      <c r="F2">
        <v>12</v>
      </c>
      <c r="G2">
        <v>3</v>
      </c>
    </row>
    <row r="3" spans="1:7">
      <c r="A3" cm="1">
        <f t="array" ref="A3">_xlfn.REDUCE(1, {1,2,3,4}, _xlfn.LAMBDA(_xlpm.acc,_xlpm.val, _xlpm.acc * _xlpm.val))</f>
        <v>24</v>
      </c>
      <c r="B3">
        <v>24</v>
      </c>
      <c r="C3" t="b">
        <f>A3=B3</f>
        <v>1</v>
      </c>
      <c r="D3" s="1" t="str">
        <f t="shared" ref="D3:D7" ca="1" si="0">_xlfn.FORMULATEXT(A3)</f>
        <v>=REDUCE(1, {1,2,3,4}, LAMBDA(acc,val, acc * val))</v>
      </c>
      <c r="F3">
        <v>14</v>
      </c>
      <c r="G3">
        <v>3</v>
      </c>
    </row>
    <row r="4" spans="1:7">
      <c r="A4" t="str" cm="1">
        <f t="array" ref="A4">_xlfn.REDUCE("", {"a","b","c"}, _xlfn.LAMBDA(_xlpm.acc,_xlpm.val, _xlpm.acc &amp; _xlpm.val))</f>
        <v>abc</v>
      </c>
      <c r="B4" t="s">
        <v>76</v>
      </c>
      <c r="C4" t="b">
        <f>A4=B4</f>
        <v>1</v>
      </c>
      <c r="D4" s="1" t="str">
        <f t="shared" ca="1" si="0"/>
        <v>=REDUCE("", {"a","b","c"}, LAMBDA(acc,val, acc &amp; val))</v>
      </c>
      <c r="F4">
        <v>11</v>
      </c>
      <c r="G4">
        <v>5</v>
      </c>
    </row>
    <row r="5" spans="1:7">
      <c r="A5" t="str" cm="1">
        <f t="array" ref="A5">_xlfn.REDUCE(10 &amp; "_", {"a","b","c"}, _xlfn.LAMBDA(_xlpm.acc,_xlpm.val, _xlpm.acc &amp; _xlpm.val))</f>
        <v>10_abc</v>
      </c>
      <c r="B5" t="s">
        <v>77</v>
      </c>
      <c r="C5" t="b">
        <f>A5=B5</f>
        <v>1</v>
      </c>
      <c r="D5" s="1" t="str">
        <f t="shared" ca="1" si="0"/>
        <v>=REDUCE(10 &amp; "_", {"a","b","c"}, LAMBDA(acc,val, acc &amp; val))</v>
      </c>
    </row>
    <row r="6" spans="1:7">
      <c r="A6" cm="1">
        <f t="array" ref="A6">_xlfn.REDUCE(, {1,2,3}, _xlfn.LAMBDA(_xlpm.acc,_xlpm.val, _xlpm.acc + _xlpm.val))</f>
        <v>6</v>
      </c>
      <c r="B6">
        <v>6</v>
      </c>
      <c r="C6" t="b">
        <f>A6=B6</f>
        <v>1</v>
      </c>
      <c r="D6" s="1" t="str">
        <f t="shared" ca="1" si="0"/>
        <v>=REDUCE(, {1,2,3}, LAMBDA(acc,val, acc + val))</v>
      </c>
    </row>
    <row r="7" spans="1:7">
      <c r="A7" s="3" cm="1">
        <f t="array" ref="A7">_xlfn.REDUCE(5, {1,2,3;4,5,6}, _xlfn.LAMBDA(_xlpm.acc,_xlpm.val, _xlpm.acc + _xlpm.val))</f>
        <v>26</v>
      </c>
      <c r="B7">
        <v>26</v>
      </c>
      <c r="C7" t="b">
        <f>A7=B7</f>
        <v>1</v>
      </c>
      <c r="D7" s="1" t="str">
        <f t="shared" ca="1" si="0"/>
        <v>=REDUCE(5, {1,2,3;4,5,6}, LAMBDA(acc,val, acc + val))</v>
      </c>
      <c r="E7" t="s">
        <v>78</v>
      </c>
    </row>
    <row r="8" spans="1:7">
      <c r="A8" cm="1">
        <f t="array" ref="A8">_xlfn.REDUCE(2, F2:F4, _xlfn.LAMBDA(_xlpm.acc,_xlpm.val, _xlpm.acc + _xlpm.val))</f>
        <v>39</v>
      </c>
      <c r="B8">
        <v>39</v>
      </c>
      <c r="C8" t="b">
        <f>A8=B8</f>
        <v>1</v>
      </c>
      <c r="D8" s="1" t="str">
        <f ca="1">_xlfn.FORMULATEXT(A8)</f>
        <v>=REDUCE(2, F2:F4, LAMBDA(acc,val, acc + val))</v>
      </c>
      <c r="E8" t="s">
        <v>79</v>
      </c>
    </row>
    <row r="9" spans="1:7">
      <c r="A9" cm="1">
        <f t="array" ref="A9">_xlfn.REDUCE(10, _xlfn.UNIQUE(G2:G4), _xlfn.LAMBDA(_xlpm.acc,_xlpm.val, _xlpm.acc + _xlpm.val))</f>
        <v>18</v>
      </c>
      <c r="B9">
        <v>18</v>
      </c>
      <c r="C9" t="b">
        <f>A9=B9</f>
        <v>1</v>
      </c>
      <c r="D9" s="1" t="str">
        <f ca="1">_xlfn.FORMULATEXT(A9)</f>
        <v>=REDUCE(10, UNIQUE(G2:G4), LAMBDA(acc,val, acc + val))</v>
      </c>
    </row>
    <row r="10" spans="1:7">
      <c r="A10" s="3" cm="1">
        <f t="array" ref="A10">IFERROR(_xlfn.REDUCE(0, {1,0}, _xlfn.LAMBDA(_xlpm.acc,_xlpm.val, _xlpm.acc / _xlpm.val)), -1)</f>
        <v>-1</v>
      </c>
      <c r="B10">
        <v>-1</v>
      </c>
      <c r="C10" t="b">
        <f>A10=B10</f>
        <v>1</v>
      </c>
      <c r="D10" s="1" t="str">
        <f ca="1">_xlfn.FORMULATEXT(A10)</f>
        <v>=IFERROR(REDUCE(0, {1,0}, LAMBDA(acc,val, acc / val)), -1)</v>
      </c>
    </row>
    <row r="11" spans="1:7">
      <c r="D11" s="1"/>
    </row>
  </sheetData>
  <conditionalFormatting sqref="C2:C10">
    <cfRule type="cellIs" dxfId="1" priority="1" operator="notEqual">
      <formula>TRUE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96EE-D870-48CB-919F-FA13DBBB7395}">
  <dimension ref="A1:E11"/>
  <sheetViews>
    <sheetView tabSelected="1" workbookViewId="0">
      <selection activeCell="G6" sqref="G6"/>
    </sheetView>
  </sheetViews>
  <sheetFormatPr defaultRowHeight="15"/>
  <cols>
    <col min="1" max="1" width="12" customWidth="1"/>
    <col min="2" max="2" width="9.7109375" bestFit="1" customWidth="1"/>
    <col min="3" max="3" width="23.28515625" bestFit="1" customWidth="1"/>
    <col min="4" max="4" width="75.7109375" bestFit="1" customWidth="1"/>
    <col min="5" max="5" width="10.5703125" bestFit="1" customWidth="1"/>
  </cols>
  <sheetData>
    <row r="1" spans="1: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</row>
    <row r="2" spans="1:5">
      <c r="A2" cm="1">
        <f t="array" ref="A2:A5">TRANSPOSE(_xlfn.SCAN(0, {1,2,3,4}, _xlfn.LAMBDA(_xlpm.acc,_xlpm.val, _xlpm.acc + _xlpm.val)))</f>
        <v>1</v>
      </c>
      <c r="B2">
        <v>1</v>
      </c>
      <c r="C2" t="b">
        <f>A2=B2</f>
        <v>1</v>
      </c>
      <c r="D2" s="7" t="str">
        <f ca="1">_xlfn.FORMULATEXT(A2)</f>
        <v>=TRANSPOSE(SCAN(0, {1,2,3,4}, LAMBDA(acc,val, acc + val)))</v>
      </c>
    </row>
    <row r="3" spans="1:5">
      <c r="A3">
        <v>3</v>
      </c>
      <c r="B3">
        <v>3</v>
      </c>
      <c r="C3" t="b">
        <f>A3=B3</f>
        <v>1</v>
      </c>
      <c r="D3" s="7"/>
    </row>
    <row r="4" spans="1:5">
      <c r="A4">
        <v>6</v>
      </c>
      <c r="B4">
        <v>6</v>
      </c>
      <c r="C4" t="b">
        <f>A4=B4</f>
        <v>1</v>
      </c>
      <c r="D4" s="7"/>
    </row>
    <row r="5" spans="1:5">
      <c r="A5">
        <v>10</v>
      </c>
      <c r="B5">
        <v>10</v>
      </c>
      <c r="C5" t="b">
        <f>A5=B5</f>
        <v>1</v>
      </c>
      <c r="D5" s="7"/>
    </row>
    <row r="6" spans="1:5">
      <c r="A6" cm="1">
        <f t="array" ref="A6:A8">TRANSPOSE(_xlfn.SCAN(, {1,2,3}, _xlfn.LAMBDA(_xlpm.acc,_xlpm.val, _xlpm.acc + _xlpm.val)))</f>
        <v>1</v>
      </c>
      <c r="B6">
        <v>1</v>
      </c>
      <c r="C6" t="b">
        <f>A6=B6</f>
        <v>1</v>
      </c>
      <c r="D6" s="7" t="str">
        <f t="shared" ref="D3:D9" ca="1" si="0">_xlfn.FORMULATEXT(A6)</f>
        <v>=TRANSPOSE(SCAN(, {1,2,3}, LAMBDA(acc,val, acc + val)))</v>
      </c>
    </row>
    <row r="7" spans="1:5">
      <c r="A7">
        <v>3</v>
      </c>
      <c r="B7">
        <v>3</v>
      </c>
      <c r="C7" t="b">
        <f>A7=B7</f>
        <v>1</v>
      </c>
      <c r="D7" s="7"/>
    </row>
    <row r="8" spans="1:5">
      <c r="A8">
        <v>6</v>
      </c>
      <c r="B8">
        <v>6</v>
      </c>
      <c r="C8" t="b">
        <f>A8=B8</f>
        <v>1</v>
      </c>
      <c r="D8" s="7"/>
    </row>
    <row r="9" spans="1:5">
      <c r="A9" t="str" cm="1">
        <f t="array" ref="A9:A11">_xlfn.SCAN("a", {"a";"b";"c"}, _xlfn.LAMBDA(_xlpm.acc,_xlpm.val, _xlpm.acc &amp; _xlpm.val))</f>
        <v>aa</v>
      </c>
      <c r="B9" t="s">
        <v>80</v>
      </c>
      <c r="C9" t="b">
        <f>A9=B9</f>
        <v>1</v>
      </c>
      <c r="D9" s="7" t="str">
        <f t="shared" ca="1" si="0"/>
        <v>=SCAN("a", {"a";"b";"c"}, LAMBDA(acc,val, acc &amp; val))</v>
      </c>
    </row>
    <row r="10" spans="1:5">
      <c r="A10" t="str">
        <v>aab</v>
      </c>
      <c r="B10" t="s">
        <v>81</v>
      </c>
      <c r="C10" t="b">
        <f>A10=B10</f>
        <v>1</v>
      </c>
    </row>
    <row r="11" spans="1:5">
      <c r="A11" t="str">
        <v>aabc</v>
      </c>
      <c r="B11" t="s">
        <v>82</v>
      </c>
      <c r="C11" t="b">
        <f>A11=B11</f>
        <v>1</v>
      </c>
    </row>
  </sheetData>
  <conditionalFormatting sqref="C2:C11">
    <cfRule type="cellIs" dxfId="0" priority="1" operator="not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2026-06-13T14:25:45Z</dcterms:created>
  <dcterms:modified xsi:type="dcterms:W3CDTF">2026-06-29T13:07:59Z</dcterms:modified>
  <cp:category/>
  <cp:contentStatus/>
</cp:coreProperties>
</file>