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812281D3-F91B-47B8-BDF4-C25DC7FC7333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Overview" sheetId="3" r:id="rId1"/>
    <sheet name="Function_Lambda" sheetId="1" r:id="rId2"/>
    <sheet name="Function_IsOmitted" sheetId="2" r:id="rId3"/>
    <sheet name="Function_ByCol" sheetId="4" r:id="rId4"/>
    <sheet name="Function_ByRow" sheetId="5" r:id="rId5"/>
    <sheet name="Function_MakeArray" sheetId="6" r:id="rId6"/>
    <sheet name="Function_Map" sheetId="7" r:id="rId7"/>
    <sheet name="Function_Reduce" sheetId="8" r:id="rId8"/>
    <sheet name="Function_Scan" sheetId="9" r:id="rId9"/>
  </sheets>
  <definedNames>
    <definedName name="PLUS2">_xlfn.LAMBDA(_xlpm.x, _xlpm.x+2)</definedName>
    <definedName name="SUM">_xlfn.LAMBDA(_xlpm.x,_xlpm.x+10)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5" l="1" a="1"/>
  <c r="A7" i="5"/>
  <c r="A6" i="5" a="1"/>
  <c r="A6" i="5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2" i="1"/>
  <c r="D23" i="1"/>
  <c r="D24" i="1"/>
  <c r="D2" i="1"/>
  <c r="D3" i="2"/>
  <c r="D4" i="2"/>
  <c r="D5" i="2"/>
  <c r="D6" i="2"/>
  <c r="D2" i="2"/>
  <c r="D3" i="4"/>
  <c r="D4" i="4"/>
  <c r="D7" i="4"/>
  <c r="D8" i="4"/>
  <c r="D9" i="4"/>
  <c r="D2" i="4"/>
  <c r="D3" i="5"/>
  <c r="D4" i="5"/>
  <c r="D6" i="5"/>
  <c r="D7" i="5"/>
  <c r="D8" i="5"/>
  <c r="D2" i="5"/>
  <c r="D9" i="6"/>
  <c r="D8" i="6"/>
  <c r="D2" i="6"/>
  <c r="D8" i="7"/>
  <c r="D5" i="7"/>
  <c r="D2" i="7"/>
  <c r="D3" i="8"/>
  <c r="D4" i="8"/>
  <c r="D5" i="8"/>
  <c r="D2" i="8"/>
  <c r="D6" i="9"/>
  <c r="D2" i="9"/>
  <c r="B13" i="3"/>
  <c r="B12" i="3"/>
  <c r="B11" i="3"/>
  <c r="B8" i="3"/>
  <c r="B7" i="3"/>
  <c r="B6" i="3"/>
  <c r="B10" i="3"/>
  <c r="C3" i="6"/>
  <c r="C4" i="6"/>
  <c r="C5" i="6"/>
  <c r="C6" i="6"/>
  <c r="C7" i="6"/>
  <c r="C2" i="6"/>
  <c r="A4" i="6"/>
  <c r="A7" i="6"/>
  <c r="A6" i="6"/>
  <c r="A5" i="6"/>
  <c r="F2" i="6" a="1"/>
  <c r="A2" i="9" a="1"/>
  <c r="A2" i="9"/>
  <c r="A6" i="9" a="1"/>
  <c r="A6" i="9"/>
  <c r="C8" i="9"/>
  <c r="C7" i="9"/>
  <c r="C6" i="9"/>
  <c r="C5" i="9"/>
  <c r="C4" i="9"/>
  <c r="C3" i="9"/>
  <c r="C2" i="9"/>
  <c r="A5" i="8" a="1"/>
  <c r="A5" i="8"/>
  <c r="C5" i="8" s="1"/>
  <c r="A4" i="8" a="1"/>
  <c r="A4" i="8"/>
  <c r="C4" i="8" s="1"/>
  <c r="A3" i="8" a="1"/>
  <c r="A3" i="8"/>
  <c r="C3" i="8" s="1"/>
  <c r="A2" i="8" a="1"/>
  <c r="A2" i="8"/>
  <c r="A8" i="7" a="1"/>
  <c r="C9" i="7" s="1"/>
  <c r="A8" i="7"/>
  <c r="C8" i="7" s="1"/>
  <c r="A5" i="7" a="1"/>
  <c r="A5" i="7"/>
  <c r="C5" i="7" s="1"/>
  <c r="A2" i="7" a="1"/>
  <c r="A2" i="7"/>
  <c r="C4" i="7"/>
  <c r="C3" i="7"/>
  <c r="C2" i="7"/>
  <c r="A9" i="6" a="1"/>
  <c r="A9" i="6"/>
  <c r="C9" i="6" s="1"/>
  <c r="A8" i="6" a="1"/>
  <c r="A8" i="6"/>
  <c r="C8" i="6"/>
  <c r="A8" i="5" a="1"/>
  <c r="A8" i="5"/>
  <c r="A2" i="5"/>
  <c r="A3" i="5" a="1"/>
  <c r="A3" i="5"/>
  <c r="A4" i="5" a="1"/>
  <c r="A4" i="5"/>
  <c r="C7" i="5"/>
  <c r="C6" i="5"/>
  <c r="B9" i="3" s="1"/>
  <c r="C3" i="5"/>
  <c r="C2" i="5"/>
  <c r="A4" i="4" a="1"/>
  <c r="A4" i="4"/>
  <c r="C6" i="4"/>
  <c r="C5" i="4"/>
  <c r="C4" i="4"/>
  <c r="A9" i="4" a="1"/>
  <c r="A9" i="4"/>
  <c r="C11" i="4"/>
  <c r="C10" i="4"/>
  <c r="C9" i="4"/>
  <c r="A8" i="4" a="1"/>
  <c r="A8" i="4"/>
  <c r="A7" i="4" a="1"/>
  <c r="A7" i="4"/>
  <c r="C8" i="4"/>
  <c r="C7" i="4"/>
  <c r="A3" i="4" a="1"/>
  <c r="A3" i="4" s="1"/>
  <c r="A2" i="4"/>
  <c r="C3" i="4"/>
  <c r="C2" i="4"/>
  <c r="A24" i="1"/>
  <c r="C24" i="1"/>
  <c r="A23" i="1" a="1"/>
  <c r="A23" i="1"/>
  <c r="C23" i="1"/>
  <c r="A6" i="2" a="1"/>
  <c r="A6" i="2" s="1"/>
  <c r="C6" i="2" s="1"/>
  <c r="A5" i="2" a="1"/>
  <c r="A5" i="2" s="1"/>
  <c r="C5" i="2" s="1"/>
  <c r="A4" i="2" a="1"/>
  <c r="A4" i="2" s="1"/>
  <c r="C4" i="2" s="1"/>
  <c r="A3" i="2" a="1"/>
  <c r="A3" i="2" s="1"/>
  <c r="C3" i="2" s="1"/>
  <c r="A2" i="2" a="1"/>
  <c r="A2" i="2" s="1"/>
  <c r="C2" i="2" s="1"/>
  <c r="A18" i="1" a="1"/>
  <c r="A18" i="1"/>
  <c r="C18" i="1" s="1"/>
  <c r="A17" i="1" a="1"/>
  <c r="A17" i="1"/>
  <c r="C17" i="1" s="1"/>
  <c r="A22" i="1" a="1"/>
  <c r="A22" i="1"/>
  <c r="C22" i="1" s="1"/>
  <c r="A19" i="1" a="1"/>
  <c r="A19" i="1"/>
  <c r="C19" i="1" s="1"/>
  <c r="A16" i="1" a="1"/>
  <c r="A16" i="1"/>
  <c r="C16" i="1" s="1"/>
  <c r="A15" i="1" a="1"/>
  <c r="A15" i="1"/>
  <c r="C15" i="1" s="1"/>
  <c r="A14" i="1" a="1"/>
  <c r="A14" i="1"/>
  <c r="C14" i="1" s="1"/>
  <c r="A13" i="1" a="1"/>
  <c r="A13" i="1"/>
  <c r="C13" i="1"/>
  <c r="B9" i="1" a="1"/>
  <c r="B9" i="1" s="1"/>
  <c r="A12" i="1" a="1"/>
  <c r="A12" i="1"/>
  <c r="C12" i="1" s="1"/>
  <c r="A10" i="1" a="1"/>
  <c r="A10" i="1"/>
  <c r="C10" i="1" s="1"/>
  <c r="A9" i="1" a="1"/>
  <c r="A9" i="1"/>
  <c r="C9" i="1" s="1"/>
  <c r="A8" i="1" a="1"/>
  <c r="A8" i="1"/>
  <c r="C8" i="1" s="1"/>
  <c r="A6" i="1" a="1"/>
  <c r="A6" i="1"/>
  <c r="C6" i="1" s="1"/>
  <c r="A7" i="1" a="1"/>
  <c r="A7" i="1"/>
  <c r="C7" i="1" s="1"/>
  <c r="A5" i="1" a="1"/>
  <c r="A5" i="1"/>
  <c r="C5" i="1" s="1"/>
  <c r="A4" i="1" a="1"/>
  <c r="A4" i="1"/>
  <c r="A3" i="1" a="1"/>
  <c r="A3" i="1"/>
  <c r="A2" i="1" a="1"/>
  <c r="A2" i="1"/>
  <c r="A11" i="1" s="1" a="1"/>
  <c r="A11" i="1" s="1"/>
  <c r="C11" i="1" s="1"/>
  <c r="C4" i="1"/>
  <c r="C3" i="1"/>
  <c r="F2" i="6" l="1"/>
  <c r="A2" i="6" s="1"/>
  <c r="A3" i="6"/>
  <c r="C2" i="8"/>
  <c r="C7" i="7"/>
  <c r="C6" i="7"/>
  <c r="C5" i="5"/>
  <c r="C4" i="5"/>
  <c r="C9" i="5"/>
  <c r="C8" i="5"/>
  <c r="C21" i="1"/>
  <c r="C20" i="1"/>
  <c r="C2" i="1"/>
  <c r="B3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<sst xmlns="http://schemas.openxmlformats.org/spreadsheetml/2006/main" count="68" uniqueCount="31">
  <si>
    <t>LAMBDA and related Functions</t>
  </si>
  <si>
    <t>RESULT</t>
  </si>
  <si>
    <t>Sheet</t>
  </si>
  <si>
    <t>Result</t>
  </si>
  <si>
    <t>Comment</t>
  </si>
  <si>
    <t>Function_LAMBDA</t>
  </si>
  <si>
    <t>Function_ISOMITTED</t>
  </si>
  <si>
    <t>Function_BYCOL</t>
  </si>
  <si>
    <t>Function_BYROW</t>
  </si>
  <si>
    <t>Function_MAKEARRAY</t>
  </si>
  <si>
    <t>Function_MAP</t>
  </si>
  <si>
    <t>Function_REDUCE</t>
  </si>
  <si>
    <t>Function_SCAN</t>
  </si>
  <si>
    <t>FUNCTION</t>
  </si>
  <si>
    <t>EXPECTED</t>
  </si>
  <si>
    <t>CORRECT</t>
  </si>
  <si>
    <t>FORMULA</t>
  </si>
  <si>
    <t>COMMENT</t>
  </si>
  <si>
    <t>LAMBDA in a LET function</t>
  </si>
  <si>
    <t>Recursive LAMBDA</t>
  </si>
  <si>
    <t>PLUS2 set with LAMBDA in the Name Manager</t>
  </si>
  <si>
    <t>SUM LAMBDA function is set in Name Manager, make sure built-in function has priority</t>
  </si>
  <si>
    <t>ABC</t>
  </si>
  <si>
    <t>AD</t>
  </si>
  <si>
    <t>BE</t>
  </si>
  <si>
    <t>CF</t>
  </si>
  <si>
    <t>DEF</t>
  </si>
  <si>
    <t>DATA</t>
  </si>
  <si>
    <t>A</t>
  </si>
  <si>
    <t>B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</si>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</sst>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ourier New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quotePrefix="1" applyFont="1"/>
    <xf numFmtId="0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0" fillId="2" borderId="0" xfId="0" applyNumberFormat="1" applyFill="1"/>
    <xf numFmtId="0" fontId="1" fillId="0" borderId="0" xfId="0" quotePrefix="1" applyFont="1" applyAlignment="1">
      <alignment horizontal="left" vertical="center"/>
    </xf>
    <xf numFmtId="0" fontId="1" fillId="0" borderId="0" xfId="0" quotePrefix="1" applyFont="1" applyAlignment="1">
      <alignment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2</v>
    <v>19</v>
  </rv>
</rvData>
</file>

<file path=xl/richData/rdrichvaluestructure.xml><?xml version="1.0" encoding="utf-8"?>
<rvStructures xmlns="http://schemas.microsoft.com/office/spreadsheetml/2017/richdata" count="1">
  <s t="_error">
    <k n="argument" t="s"/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5BA3-53D1-4694-94EA-5086DFF9C208}">
  <dimension ref="A1:G13"/>
  <sheetViews>
    <sheetView topLeftCell="A5" workbookViewId="0">
      <selection activeCell="A6" sqref="A6"/>
    </sheetView>
  </sheetViews>
  <sheetFormatPr defaultRowHeight="15"/>
  <cols>
    <col min="1" max="1" width="28" bestFit="1" customWidth="1"/>
    <col min="2" max="2" width="15.42578125" customWidth="1"/>
    <col min="3" max="3" width="38.28515625" customWidth="1"/>
  </cols>
  <sheetData>
    <row r="1" spans="1:7" ht="36">
      <c r="A1" s="8" t="s">
        <v>0</v>
      </c>
      <c r="B1" s="8"/>
      <c r="C1" s="8"/>
      <c r="D1" s="8"/>
      <c r="E1" s="8"/>
      <c r="F1" s="8"/>
      <c r="G1" s="8"/>
    </row>
    <row r="3" spans="1:7">
      <c r="A3" s="4" t="s">
        <v>1</v>
      </c>
      <c r="B3" s="5" t="b">
        <f>AND(B6:B13)</f>
        <v>1</v>
      </c>
    </row>
    <row r="5" spans="1:7">
      <c r="A5" s="4" t="s">
        <v>2</v>
      </c>
      <c r="B5" s="4" t="s">
        <v>3</v>
      </c>
      <c r="C5" s="4" t="s">
        <v>4</v>
      </c>
    </row>
    <row r="6" spans="1:7">
      <c r="A6" t="s">
        <v>5</v>
      </c>
      <c r="B6" s="5" t="b">
        <f>AND(Function_Lambda!C2:C100)</f>
        <v>1</v>
      </c>
    </row>
    <row r="7" spans="1:7">
      <c r="A7" t="s">
        <v>6</v>
      </c>
      <c r="B7" s="5" t="b">
        <f>AND(Function_IsOmitted!C2:C100)</f>
        <v>1</v>
      </c>
    </row>
    <row r="8" spans="1:7">
      <c r="A8" t="s">
        <v>7</v>
      </c>
      <c r="B8" s="5" t="b">
        <f>AND(Function_ByCol!C2:C100)</f>
        <v>1</v>
      </c>
    </row>
    <row r="9" spans="1:7">
      <c r="A9" t="s">
        <v>8</v>
      </c>
      <c r="B9" s="5" t="b">
        <f>AND(Function_ByRow!C2:C100)</f>
        <v>1</v>
      </c>
    </row>
    <row r="10" spans="1:7">
      <c r="A10" t="s">
        <v>9</v>
      </c>
      <c r="B10" s="5" t="b">
        <f>AND(Function_MakeArray!C2:C9)</f>
        <v>1</v>
      </c>
    </row>
    <row r="11" spans="1:7">
      <c r="A11" t="s">
        <v>10</v>
      </c>
      <c r="B11" s="5" t="b">
        <f>AND(Function_Map!C2:C100)</f>
        <v>1</v>
      </c>
    </row>
    <row r="12" spans="1:7">
      <c r="A12" t="s">
        <v>11</v>
      </c>
      <c r="B12" s="5" t="b">
        <f>AND(Function_Reduce!C2:C100)</f>
        <v>1</v>
      </c>
    </row>
    <row r="13" spans="1:7">
      <c r="A13" t="s">
        <v>12</v>
      </c>
      <c r="B13" s="5" t="b">
        <f>AND(Function_Scan!C2:C100)</f>
        <v>1</v>
      </c>
    </row>
  </sheetData>
  <mergeCells count="1">
    <mergeCell ref="A1:G1"/>
  </mergeCells>
  <conditionalFormatting sqref="B3">
    <cfRule type="cellIs" dxfId="1" priority="2" operator="equal">
      <formula>TRUE</formula>
    </cfRule>
  </conditionalFormatting>
  <conditionalFormatting sqref="B6:B13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activeCell="A11" sqref="A11"/>
    </sheetView>
  </sheetViews>
  <sheetFormatPr defaultRowHeight="15"/>
  <cols>
    <col min="1" max="1" width="15.7109375" customWidth="1"/>
    <col min="2" max="2" width="12" customWidth="1"/>
    <col min="3" max="3" width="23.28515625" bestFit="1" customWidth="1"/>
    <col min="4" max="4" width="91.140625" customWidth="1"/>
    <col min="5" max="5" width="85.140625" customWidth="1"/>
  </cols>
  <sheetData>
    <row r="1" spans="1: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>
      <c r="A2" cm="1">
        <f t="array" ref="A2">_xlfn.LAMBDA(_xlpm.a, 2)(1)</f>
        <v>2</v>
      </c>
      <c r="B2">
        <v>2</v>
      </c>
      <c r="C2" s="2" t="b">
        <f>A2=B2</f>
        <v>1</v>
      </c>
      <c r="D2" s="1" t="str">
        <f ca="1">_xlfn.FORMULATEXT(A2)</f>
        <v>=LAMBDA(a, 2)(1)</v>
      </c>
    </row>
    <row r="3" spans="1:5">
      <c r="A3" cm="1">
        <f t="array" ref="A3">_xlfn.LAMBDA(_xlpm.a, _xlpm.a)(3)</f>
        <v>3</v>
      </c>
      <c r="B3">
        <v>3</v>
      </c>
      <c r="C3" s="2" t="b">
        <f>A3=B3</f>
        <v>1</v>
      </c>
      <c r="D3" s="1" t="str">
        <f t="shared" ref="D3:D24" ca="1" si="0">_xlfn.FORMULATEXT(A3)</f>
        <v>=LAMBDA(a, a)(3)</v>
      </c>
    </row>
    <row r="4" spans="1:5">
      <c r="A4" cm="1">
        <f t="array" ref="A4">_xlfn.LAMBDA(_xlpm.a, _xlpm.a * 2)(2)</f>
        <v>4</v>
      </c>
      <c r="B4">
        <v>4</v>
      </c>
      <c r="C4" s="2" t="b">
        <f>A4=B4</f>
        <v>1</v>
      </c>
      <c r="D4" s="1" t="str">
        <f t="shared" ca="1" si="0"/>
        <v>=LAMBDA(a, a * 2)(2)</v>
      </c>
    </row>
    <row r="5" spans="1:5">
      <c r="A5" cm="1">
        <f t="array" ref="A5">_xlfn.LAMBDA(_xlpm.x,_xlpm.y, _xlpm.x + _xlpm.y)(3, 4)</f>
        <v>7</v>
      </c>
      <c r="B5">
        <v>7</v>
      </c>
      <c r="C5" s="2" t="b">
        <f t="shared" ref="C5:C24" si="1">A5=B5</f>
        <v>1</v>
      </c>
      <c r="D5" s="1" t="str">
        <f t="shared" ca="1" si="0"/>
        <v>=LAMBDA(x,y, x + y)(3, 4)</v>
      </c>
    </row>
    <row r="6" spans="1:5">
      <c r="A6" cm="1">
        <f t="array" ref="A6">_xlfn.LAMBDA(_xlpm.a, _xlpm.a+_xlpm.a)(5)</f>
        <v>10</v>
      </c>
      <c r="B6">
        <v>10</v>
      </c>
      <c r="C6" s="2" t="b">
        <f t="shared" si="1"/>
        <v>1</v>
      </c>
      <c r="D6" s="1" t="str">
        <f t="shared" ca="1" si="0"/>
        <v>=LAMBDA(a, a+a)(5)</v>
      </c>
    </row>
    <row r="7" spans="1:5">
      <c r="A7" cm="1">
        <f t="array" ref="A7">_xlfn.LAMBDA(_xlpm.x,_xlpm.y, _xlpm.x * _xlpm.y + _xlpm.x)(3, 4)</f>
        <v>15</v>
      </c>
      <c r="B7">
        <v>15</v>
      </c>
      <c r="C7" s="2" t="b">
        <f t="shared" si="1"/>
        <v>1</v>
      </c>
      <c r="D7" s="1" t="str">
        <f t="shared" ca="1" si="0"/>
        <v>=LAMBDA(x,y, x * y + x)(3, 4)</v>
      </c>
    </row>
    <row r="8" spans="1:5">
      <c r="A8" cm="1">
        <f t="array" ref="A8">_xlfn.LAMBDA(_xlpm.a, IF(_xlpm.a &gt; 0, _xlpm.a, -_xlpm.a))(-5)</f>
        <v>5</v>
      </c>
      <c r="B8">
        <v>5</v>
      </c>
      <c r="C8" s="2" t="b">
        <f t="shared" si="1"/>
        <v>1</v>
      </c>
      <c r="D8" s="1" t="str">
        <f t="shared" ca="1" si="0"/>
        <v>=LAMBDA(a, IF(a &gt; 0, a, -a))(-5)</v>
      </c>
    </row>
    <row r="9" spans="1:5">
      <c r="A9" t="str" cm="1">
        <f t="array" ref="A9">_xlfn.LAMBDA(_xlpm.a, _xlpm.a &amp; "!")("hi")</f>
        <v>hi!</v>
      </c>
      <c r="B9" t="str" cm="1">
        <f t="array" ref="B9">_xlfn.LAMBDA(_xlpm.a, _xlpm.a &amp; "!")("hi")</f>
        <v>hi!</v>
      </c>
      <c r="C9" s="2" t="b">
        <f t="shared" si="1"/>
        <v>1</v>
      </c>
      <c r="D9" s="1" t="str">
        <f t="shared" ca="1" si="0"/>
        <v>=LAMBDA(a, a &amp; "!")("hi")</v>
      </c>
    </row>
    <row r="10" spans="1:5">
      <c r="A10" cm="1">
        <f t="array" ref="A10">_xlfn.LAMBDA(_xlpm.SQRT, SQRT(_xlpm.SQRT))(4)</f>
        <v>2</v>
      </c>
      <c r="B10">
        <v>2</v>
      </c>
      <c r="C10" s="2" t="b">
        <f t="shared" si="1"/>
        <v>1</v>
      </c>
      <c r="D10" s="1" t="str">
        <f t="shared" ca="1" si="0"/>
        <v>=LAMBDA(SQRT, SQRT(SQRT))(4)</v>
      </c>
    </row>
    <row r="11" spans="1:5">
      <c r="A11" cm="1">
        <f t="array" ref="A11">_xlfn.LAMBDA(_xlpm.r, SUM(_xlpm.r))(A1:A3)</f>
        <v>5</v>
      </c>
      <c r="B11">
        <v>5</v>
      </c>
      <c r="C11" s="2" t="b">
        <f t="shared" si="1"/>
        <v>1</v>
      </c>
      <c r="D11" s="1" t="str">
        <f t="shared" ca="1" si="0"/>
        <v>=LAMBDA(r, SUM(r))(A1:A3)</v>
      </c>
    </row>
    <row r="12" spans="1:5">
      <c r="A12" cm="1">
        <f t="array" ref="A12">_xlfn.LAMBDA(_xlpm.a,_xlpm.b,_xlpm.c, _xlpm.a + _xlpm.b + _xlpm.c)(1, 2, 3)</f>
        <v>6</v>
      </c>
      <c r="B12">
        <v>6</v>
      </c>
      <c r="C12" s="2" t="b">
        <f t="shared" si="1"/>
        <v>1</v>
      </c>
      <c r="D12" s="1" t="str">
        <f t="shared" ca="1" si="0"/>
        <v>=LAMBDA(a,b,c, a + b + c)(1, 2, 3)</v>
      </c>
    </row>
    <row r="13" spans="1:5">
      <c r="A13" t="b" cm="1">
        <f t="array" ref="A13">_xlfn.LAMBDA(_xlpm.x, _xlpm.x &gt; 5)(7)</f>
        <v>1</v>
      </c>
      <c r="B13" t="b">
        <v>1</v>
      </c>
      <c r="C13" s="2" t="b">
        <f t="shared" si="1"/>
        <v>1</v>
      </c>
      <c r="D13" s="1" t="str">
        <f t="shared" ca="1" si="0"/>
        <v>=LAMBDA(x, x &gt; 5)(7)</v>
      </c>
    </row>
    <row r="14" spans="1:5">
      <c r="A14" t="e" cm="1">
        <f t="array" ref="A14">_xlfn.LAMBDA(_xlpm.x, 1 / _xlpm.x)(0)</f>
        <v>#DIV/0!</v>
      </c>
      <c r="B14" t="e">
        <v>#DIV/0!</v>
      </c>
      <c r="C14" s="2" t="b">
        <f>IF(ERROR.TYPE(A14) = 2, TRUE, FALSE)</f>
        <v>1</v>
      </c>
      <c r="D14" s="1" t="str">
        <f t="shared" ca="1" si="0"/>
        <v>=LAMBDA(x, 1 / x)(0)</v>
      </c>
    </row>
    <row r="15" spans="1:5">
      <c r="A15" t="e" cm="1" vm="1">
        <f t="array" ref="A15">_xlfn.LAMBDA(_xlpm.x,_xlpm.y, _xlpm.x + _xlpm.y)(1)</f>
        <v>#VALUE!</v>
      </c>
      <c r="B15" t="e" vm="1">
        <v>#VALUE!</v>
      </c>
      <c r="C15" s="2" t="b">
        <f>IF(ERROR.TYPE(A15) = 3, TRUE, FALSE)</f>
        <v>1</v>
      </c>
      <c r="D15" s="1" t="str">
        <f t="shared" ca="1" si="0"/>
        <v>=LAMBDA(x,y, x + y)(1)</v>
      </c>
    </row>
    <row r="16" spans="1:5">
      <c r="A16" cm="1">
        <f t="array" ref="A16">_xlfn.LAMBDA(_xlpm.x, _xlfn.LAMBDA(_xlpm.y, _xlpm.x + _xlpm.y))(3)(4)</f>
        <v>7</v>
      </c>
      <c r="B16">
        <v>7</v>
      </c>
      <c r="C16" s="2" t="b">
        <f t="shared" si="1"/>
        <v>1</v>
      </c>
      <c r="D16" s="1" t="str">
        <f t="shared" ca="1" si="0"/>
        <v>=LAMBDA(x, LAMBDA(y, x + y))(3)(4)</v>
      </c>
    </row>
    <row r="17" spans="1:5">
      <c r="A17" cm="1">
        <f t="array" ref="A17">_xlfn.LET(_xlpm.f, _xlfn.LAMBDA(_xlpm.x, _xlpm.x * _xlpm.x), _xlpm.f(4))</f>
        <v>16</v>
      </c>
      <c r="B17">
        <v>16</v>
      </c>
      <c r="C17" s="2" t="b">
        <f t="shared" si="1"/>
        <v>1</v>
      </c>
      <c r="D17" s="1" t="str">
        <f t="shared" ca="1" si="0"/>
        <v>=LET(f, LAMBDA(x, x * x), f(4))</v>
      </c>
      <c r="E17" t="s">
        <v>18</v>
      </c>
    </row>
    <row r="18" spans="1:5">
      <c r="A18" cm="1">
        <f t="array" ref="A18">_xlfn.LAMBDA(_xlpm.a, SUM(_xlpm.a))({1;2;3})</f>
        <v>6</v>
      </c>
      <c r="B18">
        <v>6</v>
      </c>
      <c r="C18" s="2" t="b">
        <f t="shared" si="1"/>
        <v>1</v>
      </c>
      <c r="D18" s="1" t="str">
        <f t="shared" ca="1" si="0"/>
        <v>=LAMBDA(a, SUM(a))({1;2;3})</v>
      </c>
    </row>
    <row r="19" spans="1:5">
      <c r="A19" cm="1">
        <f t="array" ref="A19:A21">_xlfn.LAMBDA(_xlpm.a, _xlpm.a * 2)({1;2;3})</f>
        <v>2</v>
      </c>
      <c r="B19">
        <v>2</v>
      </c>
      <c r="C19" s="2" t="b">
        <f t="shared" si="1"/>
        <v>1</v>
      </c>
      <c r="D19" s="1" t="str">
        <f t="shared" ca="1" si="0"/>
        <v>=LAMBDA(a, a * 2)({1;2;3})</v>
      </c>
    </row>
    <row r="20" spans="1:5">
      <c r="A20">
        <v>4</v>
      </c>
      <c r="B20">
        <v>4</v>
      </c>
      <c r="C20" s="2" t="b">
        <f t="shared" si="1"/>
        <v>1</v>
      </c>
      <c r="D20" s="1"/>
    </row>
    <row r="21" spans="1:5">
      <c r="A21">
        <v>6</v>
      </c>
      <c r="B21">
        <v>6</v>
      </c>
      <c r="C21" s="2" t="b">
        <f t="shared" si="1"/>
        <v>1</v>
      </c>
      <c r="D21" s="1"/>
    </row>
    <row r="22" spans="1:5">
      <c r="A22" cm="1">
        <f t="array" ref="A22">_xlfn.LET(_xlpm.g, _xlfn.LAMBDA(_xlpm.self,_xlpm.n, IF(_xlpm.n &lt;= 1, 1, _xlpm.n * _xlpm.self(_xlpm.self, _xlpm.n - 1))), _xlpm.g(_xlpm.g, 5))</f>
        <v>120</v>
      </c>
      <c r="B22">
        <v>120</v>
      </c>
      <c r="C22" s="2" t="b">
        <f t="shared" si="1"/>
        <v>1</v>
      </c>
      <c r="D22" s="1" t="str">
        <f t="shared" ca="1" si="0"/>
        <v>=LET(g, LAMBDA(self,n, IF(n &lt;= 1, 1, n * self(self, n - 1))), g(g, 5))</v>
      </c>
      <c r="E22" t="s">
        <v>19</v>
      </c>
    </row>
    <row r="23" spans="1:5">
      <c r="A23" cm="1">
        <f t="array" ref="A23">PLUS2(5)</f>
        <v>7</v>
      </c>
      <c r="B23">
        <v>7</v>
      </c>
      <c r="C23" s="2" t="b">
        <f t="shared" si="1"/>
        <v>1</v>
      </c>
      <c r="D23" s="1" t="str">
        <f t="shared" ca="1" si="0"/>
        <v>=PLUS2(5)</v>
      </c>
      <c r="E23" t="s">
        <v>20</v>
      </c>
    </row>
    <row r="24" spans="1:5">
      <c r="A24">
        <f>SUM(4)</f>
        <v>4</v>
      </c>
      <c r="B24">
        <v>4</v>
      </c>
      <c r="C24" s="2" t="b">
        <f t="shared" si="1"/>
        <v>1</v>
      </c>
      <c r="D24" s="1" t="str">
        <f t="shared" ca="1" si="0"/>
        <v>=SUM(4)</v>
      </c>
      <c r="E24" s="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6BC4-8690-4B4D-B9FF-1C0DCDF78CF0}">
  <dimension ref="A1:E6"/>
  <sheetViews>
    <sheetView workbookViewId="0">
      <selection activeCell="D2" sqref="D2"/>
    </sheetView>
  </sheetViews>
  <sheetFormatPr defaultRowHeight="15"/>
  <cols>
    <col min="1" max="1" width="31.28515625" bestFit="1" customWidth="1"/>
    <col min="2" max="2" width="9.7109375" bestFit="1" customWidth="1"/>
    <col min="3" max="3" width="23.28515625" bestFit="1" customWidth="1"/>
    <col min="4" max="4" width="61.5703125" bestFit="1" customWidth="1"/>
  </cols>
  <sheetData>
    <row r="1" spans="1: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>
      <c r="A2" t="b" cm="1">
        <f t="array" ref="A2">_xlfn.LAMBDA(_xlpm.x,_xlpm.y, _xlfn.ISOMITTED(_xlpm.x))(, 5)</f>
        <v>1</v>
      </c>
      <c r="B2" t="b">
        <v>1</v>
      </c>
      <c r="C2" t="b">
        <f t="shared" ref="C2:C6" si="0">A2=B2</f>
        <v>1</v>
      </c>
      <c r="D2" s="1" t="str">
        <f ca="1">_xlfn.FORMULATEXT(A2)</f>
        <v>=LAMBDA(x,y, ISOMITTED(x))(, 5)</v>
      </c>
    </row>
    <row r="3" spans="1:5">
      <c r="A3" t="b" cm="1">
        <f t="array" ref="A3">_xlfn.LAMBDA(_xlpm.x,_xlpm.y, _xlfn.ISOMITTED(_xlpm.x))(3, 5)</f>
        <v>0</v>
      </c>
      <c r="B3" t="b">
        <v>0</v>
      </c>
      <c r="C3" t="b">
        <f t="shared" si="0"/>
        <v>1</v>
      </c>
      <c r="D3" s="1" t="str">
        <f t="shared" ref="D3:D6" ca="1" si="1">_xlfn.FORMULATEXT(A3)</f>
        <v>=LAMBDA(x,y, ISOMITTED(x))(3, 5)</v>
      </c>
    </row>
    <row r="4" spans="1:5">
      <c r="A4" t="b" cm="1">
        <f t="array" ref="A4">_xlfn.LAMBDA(_xlpm.x,_xlpm.y, _xlfn.ISOMITTED(_xlpm.x))(3, 5)</f>
        <v>0</v>
      </c>
      <c r="B4" t="b">
        <v>0</v>
      </c>
      <c r="C4" t="b">
        <f t="shared" si="0"/>
        <v>1</v>
      </c>
      <c r="D4" s="1" t="str">
        <f t="shared" ca="1" si="1"/>
        <v>=LAMBDA(x,y, ISOMITTED(x))(3, 5)</v>
      </c>
    </row>
    <row r="5" spans="1:5">
      <c r="A5" cm="1">
        <f t="array" ref="A5">_xlfn.LAMBDA(_xlpm.x,_xlpm.y, IF(_xlfn.ISOMITTED(_xlpm.x), 99, _xlpm.x) + _xlpm.y)(, 5)</f>
        <v>104</v>
      </c>
      <c r="B5">
        <v>104</v>
      </c>
      <c r="C5" t="b">
        <f t="shared" si="0"/>
        <v>1</v>
      </c>
      <c r="D5" s="1" t="str">
        <f t="shared" ca="1" si="1"/>
        <v>=LAMBDA(x,y, IF(ISOMITTED(x), 99, x) + y)(, 5)</v>
      </c>
    </row>
    <row r="6" spans="1:5">
      <c r="A6" cm="1">
        <f t="array" ref="A6">_xlfn.LAMBDA(_xlpm.x,_xlpm.y, IF(_xlfn.ISOMITTED(_xlpm.x), 99, _xlpm.x) + _xlpm.y)(3, 5)</f>
        <v>8</v>
      </c>
      <c r="B6">
        <v>8</v>
      </c>
      <c r="C6" t="b">
        <f t="shared" si="0"/>
        <v>1</v>
      </c>
      <c r="D6" s="1" t="str">
        <f t="shared" ca="1" si="1"/>
        <v>=LAMBDA(x,y, IF(ISOMITTED(x), 99, x) + y)(3, 5)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AAD1-330B-4374-B680-19CC9EB335F7}">
  <dimension ref="A1:E11"/>
  <sheetViews>
    <sheetView workbookViewId="0">
      <selection activeCell="D2" sqref="D2"/>
    </sheetView>
  </sheetViews>
  <sheetFormatPr defaultRowHeight="15"/>
  <cols>
    <col min="1" max="1" width="12.140625" customWidth="1"/>
    <col min="2" max="2" width="9.7109375" bestFit="1" customWidth="1"/>
    <col min="3" max="3" width="23.28515625" bestFit="1" customWidth="1"/>
    <col min="4" max="4" width="86" bestFit="1" customWidth="1"/>
    <col min="5" max="5" width="10.7109375" bestFit="1" customWidth="1"/>
  </cols>
  <sheetData>
    <row r="1" spans="1: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>
      <c r="A2">
        <f>SUM(_xlfn.BYCOL({1,2,3;4,5,6}, _xlfn.LAMBDA(_xlpm.c, SUM(_xlpm.c))))</f>
        <v>21</v>
      </c>
      <c r="B2">
        <v>21</v>
      </c>
      <c r="C2" t="b">
        <f t="shared" ref="C2:C11" si="0">A2=B2</f>
        <v>1</v>
      </c>
      <c r="D2" s="1" t="str">
        <f ca="1">_xlfn.FORMULATEXT(A2)</f>
        <v>=SUM(BYCOL({1,2,3;4,5,6}, LAMBDA(c, SUM(c))))</v>
      </c>
    </row>
    <row r="3" spans="1:5">
      <c r="A3" cm="1">
        <f t="array" ref="A3">_xlfn.BYCOL({1;2;3}, _xlfn.LAMBDA(_xlpm.c, SUM(_xlpm.c)))</f>
        <v>6</v>
      </c>
      <c r="B3">
        <v>6</v>
      </c>
      <c r="C3" t="b">
        <f t="shared" si="0"/>
        <v>1</v>
      </c>
      <c r="D3" s="1" t="str">
        <f t="shared" ref="D3:D10" ca="1" si="1">_xlfn.FORMULATEXT(A3)</f>
        <v>=BYCOL({1;2;3}, LAMBDA(c, SUM(c)))</v>
      </c>
    </row>
    <row r="4" spans="1:5">
      <c r="A4" cm="1">
        <f t="array" ref="A4:A6">TRANSPOSE(_xlfn.BYCOL({1,2,3;10,20,30}, _xlfn.LAMBDA(_xlpm.c, SUM(_xlpm.c))))</f>
        <v>11</v>
      </c>
      <c r="B4">
        <v>11</v>
      </c>
      <c r="C4" t="b">
        <f t="shared" si="0"/>
        <v>1</v>
      </c>
      <c r="D4" s="1" t="str">
        <f t="shared" ca="1" si="1"/>
        <v>=TRANSPOSE(BYCOL({1,2,3;10,20,30}, LAMBDA(c, SUM(c))))</v>
      </c>
    </row>
    <row r="5" spans="1:5">
      <c r="A5">
        <v>22</v>
      </c>
      <c r="B5">
        <v>22</v>
      </c>
      <c r="C5" t="b">
        <f t="shared" si="0"/>
        <v>1</v>
      </c>
      <c r="D5" s="1"/>
    </row>
    <row r="6" spans="1:5">
      <c r="A6">
        <v>33</v>
      </c>
      <c r="B6">
        <v>33</v>
      </c>
      <c r="C6" t="b">
        <f t="shared" si="0"/>
        <v>1</v>
      </c>
      <c r="D6" s="1"/>
    </row>
    <row r="7" spans="1:5">
      <c r="A7" cm="1">
        <f t="array" ref="A7">_xlfn.BYCOL(100, _xlfn.LAMBDA(_xlpm.c, SUM(_xlpm.c)))</f>
        <v>100</v>
      </c>
      <c r="B7">
        <v>100</v>
      </c>
      <c r="C7" t="b">
        <f t="shared" si="0"/>
        <v>1</v>
      </c>
      <c r="D7" s="1" t="str">
        <f t="shared" ca="1" si="1"/>
        <v>=BYCOL(100, LAMBDA(c, SUM(c)))</v>
      </c>
    </row>
    <row r="8" spans="1:5">
      <c r="A8" t="str" cm="1">
        <f t="array" ref="A8">_xlfn.BYCOL("ABC", _xlfn.LAMBDA(_xlpm.c, _xlpm.c))</f>
        <v>ABC</v>
      </c>
      <c r="B8" t="s">
        <v>22</v>
      </c>
      <c r="C8" t="b">
        <f t="shared" si="0"/>
        <v>1</v>
      </c>
      <c r="D8" s="1" t="str">
        <f t="shared" ca="1" si="1"/>
        <v>=BYCOL("ABC", LAMBDA(c, c))</v>
      </c>
    </row>
    <row r="9" spans="1:5">
      <c r="A9" s="3" t="str" cm="1">
        <f t="array" ref="A9:A11">TRANSPOSE(_xlfn.BYCOL({"A","B","C";"D","E","F"}, _xlfn.LAMBDA(_xlpm.c, _xlfn.CONCAT(_xlpm.c))))</f>
        <v>AD</v>
      </c>
      <c r="B9" t="s">
        <v>23</v>
      </c>
      <c r="C9" t="b">
        <f t="shared" si="0"/>
        <v>1</v>
      </c>
      <c r="D9" s="1" t="str">
        <f t="shared" ca="1" si="1"/>
        <v>=TRANSPOSE(BYCOL({"A","B","C";"D","E","F"}, LAMBDA(c, CONCAT(c))))</v>
      </c>
    </row>
    <row r="10" spans="1:5">
      <c r="A10" t="str">
        <v>BE</v>
      </c>
      <c r="B10" t="s">
        <v>24</v>
      </c>
      <c r="C10" t="b">
        <f t="shared" si="0"/>
        <v>1</v>
      </c>
      <c r="D10" s="1"/>
    </row>
    <row r="11" spans="1:5">
      <c r="A11" t="str">
        <v>CF</v>
      </c>
      <c r="B11" t="s">
        <v>25</v>
      </c>
      <c r="C11" t="b">
        <f t="shared" si="0"/>
        <v>1</v>
      </c>
      <c r="D1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A135-F1D7-4292-81A0-1877087BD36C}">
  <dimension ref="A1:E9"/>
  <sheetViews>
    <sheetView tabSelected="1" workbookViewId="0">
      <selection activeCell="A8" sqref="A8"/>
    </sheetView>
  </sheetViews>
  <sheetFormatPr defaultRowHeight="15"/>
  <cols>
    <col min="1" max="1" width="10.5703125" customWidth="1"/>
    <col min="2" max="2" width="9.7109375" bestFit="1" customWidth="1"/>
    <col min="3" max="3" width="23.28515625" bestFit="1" customWidth="1"/>
    <col min="4" max="4" width="71.85546875" bestFit="1" customWidth="1"/>
    <col min="5" max="5" width="10.7109375" bestFit="1" customWidth="1"/>
  </cols>
  <sheetData>
    <row r="1" spans="1: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>
      <c r="A2">
        <f>SUM(_xlfn.BYROW({1,2,3;4,5,6}, _xlfn.LAMBDA(_xlpm.c, SUM(_xlpm.c))))</f>
        <v>21</v>
      </c>
      <c r="B2">
        <v>21</v>
      </c>
      <c r="C2" t="b">
        <f t="shared" ref="C2:C9" si="0">A2=B2</f>
        <v>1</v>
      </c>
      <c r="D2" s="1" t="str">
        <f ca="1">_xlfn.FORMULATEXT(A2)</f>
        <v>=SUM(BYROW({1,2,3;4,5,6}, LAMBDA(c, SUM(c))))</v>
      </c>
    </row>
    <row r="3" spans="1:5">
      <c r="A3" cm="1">
        <f t="array" ref="A3">_xlfn.BYROW({1,2,3}, _xlfn.LAMBDA(_xlpm.c, SUM(_xlpm.c)))</f>
        <v>6</v>
      </c>
      <c r="B3">
        <v>6</v>
      </c>
      <c r="C3" t="b">
        <f t="shared" si="0"/>
        <v>1</v>
      </c>
      <c r="D3" s="1" t="str">
        <f t="shared" ref="D3:D9" ca="1" si="1">_xlfn.FORMULATEXT(A3)</f>
        <v>=BYROW({1,2,3}, LAMBDA(c, SUM(c)))</v>
      </c>
    </row>
    <row r="4" spans="1:5">
      <c r="A4" cm="1">
        <f t="array" ref="A4:A5">_xlfn.BYROW({1,2,3;10,20,30}, _xlfn.LAMBDA(_xlpm.c, SUM(_xlpm.c)))</f>
        <v>6</v>
      </c>
      <c r="B4">
        <v>6</v>
      </c>
      <c r="C4" t="b">
        <f t="shared" si="0"/>
        <v>1</v>
      </c>
      <c r="D4" s="1" t="str">
        <f t="shared" ca="1" si="1"/>
        <v>=BYROW({1,2,3;10,20,30}, LAMBDA(c, SUM(c)))</v>
      </c>
    </row>
    <row r="5" spans="1:5">
      <c r="A5">
        <v>60</v>
      </c>
      <c r="B5">
        <v>60</v>
      </c>
      <c r="C5" t="b">
        <f t="shared" si="0"/>
        <v>1</v>
      </c>
      <c r="D5" s="1"/>
    </row>
    <row r="6" spans="1:5">
      <c r="A6" cm="1">
        <f t="array" ref="A6">_xlfn.BYROW(100, _xlfn.LAMBDA(_xlpm.c, SUM(_xlpm.c)))</f>
        <v>100</v>
      </c>
      <c r="B6">
        <v>100</v>
      </c>
      <c r="C6" t="b">
        <f t="shared" si="0"/>
        <v>1</v>
      </c>
      <c r="D6" s="1" t="str">
        <f t="shared" ca="1" si="1"/>
        <v>=BYROW(100, LAMBDA(c, SUM(c)))</v>
      </c>
    </row>
    <row r="7" spans="1:5">
      <c r="A7" t="str" cm="1">
        <f t="array" ref="A7">_xlfn.BYROW("ABC", _xlfn.LAMBDA(_xlpm.c, _xlpm.c))</f>
        <v>ABC</v>
      </c>
      <c r="B7" t="s">
        <v>22</v>
      </c>
      <c r="C7" t="b">
        <f t="shared" si="0"/>
        <v>1</v>
      </c>
      <c r="D7" s="1" t="str">
        <f t="shared" ca="1" si="1"/>
        <v>=BYROW("ABC", LAMBDA(c, c))</v>
      </c>
    </row>
    <row r="8" spans="1:5">
      <c r="A8" s="3" t="str" cm="1">
        <f t="array" ref="A8:A9">_xlfn.BYROW({"A","B","C";"D","E","F"}, _xlfn.LAMBDA(_xlpm.c, _xlfn.CONCAT(_xlpm.c)))</f>
        <v>ABC</v>
      </c>
      <c r="B8" t="s">
        <v>22</v>
      </c>
      <c r="C8" t="b">
        <f t="shared" si="0"/>
        <v>1</v>
      </c>
      <c r="D8" s="1" t="str">
        <f t="shared" ca="1" si="1"/>
        <v>=BYROW({"A","B","C";"D","E","F"}, LAMBDA(c, CONCAT(c)))</v>
      </c>
    </row>
    <row r="9" spans="1:5">
      <c r="A9" t="str">
        <v>DEF</v>
      </c>
      <c r="B9" t="s">
        <v>26</v>
      </c>
      <c r="C9" t="b">
        <f t="shared" si="0"/>
        <v>1</v>
      </c>
      <c r="D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ED71-DF37-4E12-B0D5-80D8154AC7BB}">
  <dimension ref="A1:G9"/>
  <sheetViews>
    <sheetView workbookViewId="0">
      <selection activeCell="D15" sqref="D15"/>
    </sheetView>
  </sheetViews>
  <sheetFormatPr defaultRowHeight="15"/>
  <cols>
    <col min="1" max="1" width="12" customWidth="1"/>
    <col min="2" max="2" width="9.7109375" bestFit="1" customWidth="1"/>
    <col min="3" max="3" width="23.28515625" bestFit="1" customWidth="1"/>
    <col min="4" max="4" width="68" bestFit="1" customWidth="1"/>
    <col min="5" max="5" width="10.7109375" bestFit="1" customWidth="1"/>
  </cols>
  <sheetData>
    <row r="1" spans="1:7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27</v>
      </c>
    </row>
    <row r="2" spans="1:7">
      <c r="A2">
        <f>F2</f>
        <v>11</v>
      </c>
      <c r="B2">
        <v>11</v>
      </c>
      <c r="C2" t="b">
        <f>A2=B2</f>
        <v>1</v>
      </c>
      <c r="D2" s="7" t="str">
        <f ca="1">_xlfn.FORMULATEXT(F2)</f>
        <v>=TRANSPOSE(MAKEARRAY(2, 3, LAMBDA(r,c, r * 10 + c)))</v>
      </c>
      <c r="F2" cm="1">
        <f t="array" ref="F2:G4">TRANSPOSE(_xlfn.MAKEARRAY(2, 3, _xlfn.LAMBDA(_xlpm.r,_xlpm.c, _xlpm.r * 10 + _xlpm.c)))</f>
        <v>11</v>
      </c>
      <c r="G2">
        <v>21</v>
      </c>
    </row>
    <row r="3" spans="1:7">
      <c r="A3">
        <f>F3</f>
        <v>12</v>
      </c>
      <c r="B3">
        <v>12</v>
      </c>
      <c r="C3" t="b">
        <f t="shared" ref="C3:C7" si="0">A3=B3</f>
        <v>1</v>
      </c>
      <c r="D3" s="7"/>
      <c r="F3">
        <v>12</v>
      </c>
      <c r="G3">
        <v>22</v>
      </c>
    </row>
    <row r="4" spans="1:7">
      <c r="A4">
        <f>F4</f>
        <v>13</v>
      </c>
      <c r="B4">
        <v>13</v>
      </c>
      <c r="C4" t="b">
        <f t="shared" si="0"/>
        <v>1</v>
      </c>
      <c r="D4" s="7"/>
      <c r="F4">
        <v>13</v>
      </c>
      <c r="G4">
        <v>23</v>
      </c>
    </row>
    <row r="5" spans="1:7">
      <c r="A5">
        <f>G2</f>
        <v>21</v>
      </c>
      <c r="B5">
        <v>21</v>
      </c>
      <c r="C5" t="b">
        <f t="shared" si="0"/>
        <v>1</v>
      </c>
      <c r="D5" s="7"/>
    </row>
    <row r="6" spans="1:7">
      <c r="A6">
        <f>G3</f>
        <v>22</v>
      </c>
      <c r="B6">
        <v>22</v>
      </c>
      <c r="C6" t="b">
        <f t="shared" si="0"/>
        <v>1</v>
      </c>
      <c r="D6" s="7"/>
    </row>
    <row r="7" spans="1:7">
      <c r="A7">
        <f>G4</f>
        <v>23</v>
      </c>
      <c r="B7">
        <v>23</v>
      </c>
      <c r="C7" t="b">
        <f t="shared" si="0"/>
        <v>1</v>
      </c>
      <c r="D7" s="7"/>
    </row>
    <row r="8" spans="1:7">
      <c r="A8" cm="1">
        <f t="array" ref="A8">_xlfn.MAKEARRAY(1, 1, _xlfn.LAMBDA(_xlpm.r,_xlpm.c, _xlpm.r + _xlpm.c))</f>
        <v>2</v>
      </c>
      <c r="B8">
        <v>2</v>
      </c>
      <c r="C8" t="b">
        <f>A8=B8</f>
        <v>1</v>
      </c>
      <c r="D8" s="1" t="str">
        <f ca="1">_xlfn.FORMULATEXT(A8)</f>
        <v>=MAKEARRAY(1, 1, LAMBDA(r,c, r + c))</v>
      </c>
    </row>
    <row r="9" spans="1:7">
      <c r="A9" t="e" cm="1">
        <f t="array" ref="A9">_xlfn.MAKEARRAY(0, 3, _xlfn.LAMBDA(_xlpm.r,_xlpm.c, 1))</f>
        <v>#VALUE!</v>
      </c>
      <c r="B9" t="e">
        <v>#VALUE!</v>
      </c>
      <c r="C9" t="b">
        <f>IF(ERROR.TYPE(A9) = 3, TRUE, FALSE)</f>
        <v>1</v>
      </c>
      <c r="D9" s="1" t="str">
        <f ca="1">_xlfn.FORMULATEXT(A9)</f>
        <v>=MAKEARRAY(0, 3, LAMBDA(r,c, 1))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95F7-4E9F-442E-ADEB-EE55261ADDAB}">
  <dimension ref="A1:E9"/>
  <sheetViews>
    <sheetView workbookViewId="0">
      <selection activeCell="D15" sqref="D15"/>
    </sheetView>
  </sheetViews>
  <sheetFormatPr defaultRowHeight="15"/>
  <cols>
    <col min="1" max="1" width="12" customWidth="1"/>
    <col min="2" max="2" width="9.7109375" bestFit="1" customWidth="1"/>
    <col min="3" max="3" width="23.28515625" bestFit="1" customWidth="1"/>
    <col min="4" max="4" width="73.140625" bestFit="1" customWidth="1"/>
    <col min="5" max="5" width="10.5703125" bestFit="1" customWidth="1"/>
  </cols>
  <sheetData>
    <row r="1" spans="1: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>
      <c r="A2" cm="1">
        <f t="array" ref="A2:A4">TRANSPOSE(_xlfn.MAP({1,2,3}, _xlfn.LAMBDA(_xlpm.x, _xlpm.x * _xlpm.x)))</f>
        <v>1</v>
      </c>
      <c r="B2">
        <v>1</v>
      </c>
      <c r="C2" t="b">
        <f>A2=B2</f>
        <v>1</v>
      </c>
      <c r="D2" s="7" t="str">
        <f ca="1">_xlfn.FORMULATEXT(A2)</f>
        <v>=TRANSPOSE(MAP({1,2,3}, LAMBDA(x, x * x)))</v>
      </c>
    </row>
    <row r="3" spans="1:5">
      <c r="A3">
        <v>4</v>
      </c>
      <c r="B3">
        <v>4</v>
      </c>
      <c r="C3" t="b">
        <f>A3=B3</f>
        <v>1</v>
      </c>
      <c r="D3" s="7"/>
    </row>
    <row r="4" spans="1:5">
      <c r="A4">
        <v>9</v>
      </c>
      <c r="B4">
        <v>9</v>
      </c>
      <c r="C4" t="b">
        <f>A4=B4</f>
        <v>1</v>
      </c>
      <c r="D4" s="7"/>
    </row>
    <row r="5" spans="1:5">
      <c r="A5" cm="1">
        <f t="array" ref="A5:A7">TRANSPOSE(_xlfn.MAP({1,2,3}, {10,20,30}, _xlfn.LAMBDA(_xlpm.a,_xlpm.b, _xlpm.a + _xlpm.b)))</f>
        <v>11</v>
      </c>
      <c r="B5">
        <v>11</v>
      </c>
      <c r="C5" t="b">
        <f>A5=B5</f>
        <v>1</v>
      </c>
      <c r="D5" s="7" t="str">
        <f ca="1">_xlfn.FORMULATEXT(A5)</f>
        <v>=TRANSPOSE(MAP({1,2,3}, {10,20,30}, LAMBDA(a,b, a + b)))</v>
      </c>
    </row>
    <row r="6" spans="1:5">
      <c r="A6">
        <v>22</v>
      </c>
      <c r="B6">
        <v>22</v>
      </c>
      <c r="C6" t="b">
        <f>A6=B6</f>
        <v>1</v>
      </c>
      <c r="D6" s="7"/>
    </row>
    <row r="7" spans="1:5">
      <c r="A7">
        <v>33</v>
      </c>
      <c r="B7">
        <v>33</v>
      </c>
      <c r="C7" t="b">
        <f>A7=B7</f>
        <v>1</v>
      </c>
      <c r="D7" s="7"/>
    </row>
    <row r="8" spans="1:5">
      <c r="A8" t="str" cm="1">
        <f t="array" ref="A8:A9">TRANSPOSE(_xlfn.MAP({"a","b"}, _xlfn.LAMBDA(_xlpm.x, UPPER(_xlpm.x))))</f>
        <v>A</v>
      </c>
      <c r="B8" t="s">
        <v>28</v>
      </c>
      <c r="C8" t="b">
        <f>A8=B8</f>
        <v>1</v>
      </c>
      <c r="D8" s="7" t="str">
        <f ca="1">_xlfn.FORMULATEXT(A8)</f>
        <v>=TRANSPOSE(MAP({"a","b"}, LAMBDA(x, UPPER(x))))</v>
      </c>
    </row>
    <row r="9" spans="1:5">
      <c r="A9" t="str">
        <v>B</v>
      </c>
      <c r="B9" t="s">
        <v>29</v>
      </c>
      <c r="C9" t="b">
        <f>A9=B9</f>
        <v>1</v>
      </c>
      <c r="D9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DB70-0194-415F-9EDC-5C927CB1F6B2}">
  <dimension ref="A1:E5"/>
  <sheetViews>
    <sheetView workbookViewId="0">
      <selection activeCell="D2" sqref="D2"/>
    </sheetView>
  </sheetViews>
  <sheetFormatPr defaultRowHeight="15"/>
  <cols>
    <col min="1" max="1" width="12" customWidth="1"/>
    <col min="2" max="2" width="9.7109375" bestFit="1" customWidth="1"/>
    <col min="3" max="3" width="23.28515625" bestFit="1" customWidth="1"/>
    <col min="4" max="4" width="70.5703125" bestFit="1" customWidth="1"/>
    <col min="5" max="5" width="10.5703125" bestFit="1" customWidth="1"/>
  </cols>
  <sheetData>
    <row r="1" spans="1: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>
      <c r="A2" cm="1">
        <f t="array" ref="A2">_xlfn.REDUCE(0, {1,2,3,4}, _xlfn.LAMBDA(_xlpm.acc,_xlpm.val, _xlpm.acc + _xlpm.val))</f>
        <v>10</v>
      </c>
      <c r="B2">
        <v>10</v>
      </c>
      <c r="C2" t="b">
        <f>A2=B2</f>
        <v>1</v>
      </c>
      <c r="D2" s="1" t="str">
        <f ca="1">_xlfn.FORMULATEXT(A2)</f>
        <v>=REDUCE(0, {1,2,3,4}, LAMBDA(acc,val, acc + val))</v>
      </c>
    </row>
    <row r="3" spans="1:5">
      <c r="A3" cm="1">
        <f t="array" ref="A3">_xlfn.REDUCE(1, {1,2,3,4}, _xlfn.LAMBDA(_xlpm.acc,_xlpm.val, _xlpm.acc * _xlpm.val))</f>
        <v>24</v>
      </c>
      <c r="B3">
        <v>24</v>
      </c>
      <c r="C3" t="b">
        <f>A3=B3</f>
        <v>1</v>
      </c>
      <c r="D3" s="1" t="str">
        <f t="shared" ref="D3:D5" ca="1" si="0">_xlfn.FORMULATEXT(A3)</f>
        <v>=REDUCE(1, {1,2,3,4}, LAMBDA(acc,val, acc * val))</v>
      </c>
    </row>
    <row r="4" spans="1:5">
      <c r="A4" t="str" cm="1">
        <f t="array" ref="A4">_xlfn.REDUCE("", {"a","b","c"}, _xlfn.LAMBDA(_xlpm.acc,_xlpm.val, _xlpm.acc &amp; _xlpm.val))</f>
        <v>abc</v>
      </c>
      <c r="B4" t="s">
        <v>30</v>
      </c>
      <c r="C4" t="b">
        <f>A4=B4</f>
        <v>1</v>
      </c>
      <c r="D4" s="1" t="str">
        <f t="shared" ca="1" si="0"/>
        <v>=REDUCE("", {"a","b","c"}, LAMBDA(acc,val, acc &amp; val))</v>
      </c>
    </row>
    <row r="5" spans="1:5">
      <c r="A5" cm="1">
        <f t="array" ref="A5">_xlfn.REDUCE(, {1,2,3}, _xlfn.LAMBDA(_xlpm.acc,_xlpm.val, _xlpm.acc + _xlpm.val))</f>
        <v>6</v>
      </c>
      <c r="B5">
        <v>6</v>
      </c>
      <c r="C5" t="b">
        <f>A5=B5</f>
        <v>1</v>
      </c>
      <c r="D5" s="1" t="str">
        <f t="shared" ca="1" si="0"/>
        <v>=REDUCE(, {1,2,3}, LAMBDA(acc,val, acc + val))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96EE-D870-48CB-919F-FA13DBBB7395}">
  <dimension ref="A1:E8"/>
  <sheetViews>
    <sheetView workbookViewId="0">
      <selection activeCell="D8" sqref="D8"/>
    </sheetView>
  </sheetViews>
  <sheetFormatPr defaultRowHeight="15"/>
  <cols>
    <col min="1" max="1" width="12" customWidth="1"/>
    <col min="2" max="2" width="9.7109375" bestFit="1" customWidth="1"/>
    <col min="3" max="3" width="23.28515625" bestFit="1" customWidth="1"/>
    <col min="4" max="4" width="75.7109375" bestFit="1" customWidth="1"/>
    <col min="5" max="5" width="10.5703125" bestFit="1" customWidth="1"/>
  </cols>
  <sheetData>
    <row r="1" spans="1: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>
      <c r="A2" cm="1">
        <f t="array" ref="A2:A5">TRANSPOSE(_xlfn.SCAN(0, {1,2,3,4}, _xlfn.LAMBDA(_xlpm.acc,_xlpm.val, _xlpm.acc + _xlpm.val)))</f>
        <v>1</v>
      </c>
      <c r="B2">
        <v>1</v>
      </c>
      <c r="C2" t="b">
        <f>A2=B2</f>
        <v>1</v>
      </c>
      <c r="D2" s="7" t="str">
        <f ca="1">_xlfn.FORMULATEXT(A2)</f>
        <v>=TRANSPOSE(SCAN(0, {1,2,3,4}, LAMBDA(acc,val, acc + val)))</v>
      </c>
    </row>
    <row r="3" spans="1:5">
      <c r="A3">
        <v>3</v>
      </c>
      <c r="B3">
        <v>3</v>
      </c>
      <c r="C3" t="b">
        <f>A3=B3</f>
        <v>1</v>
      </c>
      <c r="D3" s="7"/>
    </row>
    <row r="4" spans="1:5">
      <c r="A4">
        <v>6</v>
      </c>
      <c r="B4">
        <v>6</v>
      </c>
      <c r="C4" t="b">
        <f>A4=B4</f>
        <v>1</v>
      </c>
      <c r="D4" s="7"/>
    </row>
    <row r="5" spans="1:5">
      <c r="A5">
        <v>10</v>
      </c>
      <c r="B5">
        <v>10</v>
      </c>
      <c r="C5" t="b">
        <f>A5=B5</f>
        <v>1</v>
      </c>
      <c r="D5" s="7"/>
    </row>
    <row r="6" spans="1:5">
      <c r="A6" cm="1">
        <f t="array" ref="A6:A8">TRANSPOSE(_xlfn.SCAN(, {1,2,3}, _xlfn.LAMBDA(_xlpm.acc,_xlpm.val, _xlpm.acc + _xlpm.val)))</f>
        <v>1</v>
      </c>
      <c r="B6">
        <v>1</v>
      </c>
      <c r="C6" t="b">
        <f>A6=B6</f>
        <v>1</v>
      </c>
      <c r="D6" s="7" t="str">
        <f t="shared" ref="D3:D8" ca="1" si="0">_xlfn.FORMULATEXT(A6)</f>
        <v>=TRANSPOSE(SCAN(, {1,2,3}, LAMBDA(acc,val, acc + val)))</v>
      </c>
    </row>
    <row r="7" spans="1:5">
      <c r="A7">
        <v>3</v>
      </c>
      <c r="B7">
        <v>3</v>
      </c>
      <c r="C7" t="b">
        <f>A7=B7</f>
        <v>1</v>
      </c>
      <c r="D7" s="7"/>
    </row>
    <row r="8" spans="1:5">
      <c r="A8">
        <v>6</v>
      </c>
      <c r="B8">
        <v>6</v>
      </c>
      <c r="C8" t="b">
        <f>A8=B8</f>
        <v>1</v>
      </c>
      <c r="D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2026-06-13T14:25:45Z</dcterms:created>
  <dcterms:modified xsi:type="dcterms:W3CDTF">2026-06-26T13:19:36Z</dcterms:modified>
  <cp:category/>
  <cp:contentStatus/>
</cp:coreProperties>
</file>