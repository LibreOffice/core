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18195" windowHeight="12330" activeTab="4"/>
  </bookViews>
  <sheets>
    <sheet name="Sheet2" sheetId="3" r:id="rId1"/>
    <sheet name="Data Dump" sheetId="1" r:id="rId2"/>
    <sheet name="Sheet1" sheetId="2" r:id="rId3"/>
    <sheet name="Visual" sheetId="5" r:id="rId4"/>
    <sheet name="Sheet3" sheetId="6" r:id="rId5"/>
  </sheets>
  <definedNames>
    <definedName name="_xlnm._FilterDatabase" localSheetId="1" hidden="1">'Data Dump'!$A$1:$I$1077</definedName>
  </definedNames>
  <calcPr calcId="125725"/>
</workbook>
</file>

<file path=xl/calcChain.xml><?xml version="1.0" encoding="utf-8"?>
<calcChain xmlns="http://schemas.openxmlformats.org/spreadsheetml/2006/main">
  <c r="I21" i="6" a="1"/>
  <c r="I21" s="1"/>
  <c r="G21" a="1"/>
  <c r="G21" s="1"/>
  <c r="E21" a="1"/>
  <c r="E21" s="1"/>
  <c r="C21" a="1"/>
  <c r="C21" s="1"/>
  <c r="I20" a="1"/>
  <c r="I20" s="1"/>
  <c r="G20" a="1"/>
  <c r="G20" s="1"/>
  <c r="E20" a="1"/>
  <c r="E20" s="1"/>
  <c r="C20" a="1"/>
  <c r="C20" s="1"/>
  <c r="I19" a="1"/>
  <c r="I19" s="1"/>
  <c r="G19" a="1"/>
  <c r="G19" s="1"/>
  <c r="E19" a="1"/>
  <c r="E19" s="1"/>
  <c r="C19" a="1"/>
  <c r="C19" s="1"/>
  <c r="I18" a="1"/>
  <c r="I18" s="1"/>
  <c r="G18" a="1"/>
  <c r="G18" s="1"/>
  <c r="E18" a="1"/>
  <c r="E18" s="1"/>
  <c r="C18" a="1"/>
  <c r="C18" s="1"/>
  <c r="I17" a="1"/>
  <c r="I17" s="1"/>
  <c r="G17" a="1"/>
  <c r="G17" s="1"/>
  <c r="E17" a="1"/>
  <c r="E17" s="1"/>
  <c r="C17" a="1"/>
  <c r="C17" s="1"/>
  <c r="I16" a="1"/>
  <c r="I16" s="1"/>
  <c r="G16" a="1"/>
  <c r="G16" s="1"/>
  <c r="E16" a="1"/>
  <c r="E16" s="1"/>
  <c r="C16" a="1"/>
  <c r="C16" s="1"/>
  <c r="I15" a="1"/>
  <c r="I15" s="1"/>
  <c r="G15" a="1"/>
  <c r="G15" s="1"/>
  <c r="E15" a="1"/>
  <c r="E15" s="1"/>
  <c r="C15" a="1"/>
  <c r="C15" s="1"/>
  <c r="I14" a="1"/>
  <c r="I14" s="1"/>
  <c r="G14" a="1"/>
  <c r="G14" s="1"/>
  <c r="E14" a="1"/>
  <c r="E14" s="1"/>
  <c r="C14" a="1"/>
  <c r="C14" s="1"/>
  <c r="B21" a="1"/>
  <c r="B21" s="1"/>
  <c r="B20" a="1"/>
  <c r="B20" s="1"/>
  <c r="B19" a="1"/>
  <c r="B19" s="1"/>
  <c r="B18" a="1"/>
  <c r="B18" s="1"/>
  <c r="B17" a="1"/>
  <c r="B17" s="1"/>
  <c r="B16" a="1"/>
  <c r="B16" s="1"/>
  <c r="B15" a="1"/>
  <c r="B15" s="1"/>
  <c r="B14" a="1"/>
  <c r="B14" s="1"/>
  <c r="A14"/>
  <c r="A14" a="1"/>
  <c r="C13" a="1"/>
  <c r="C13" s="1"/>
  <c r="C2" a="1"/>
  <c r="C2" s="1"/>
  <c r="A3" a="1"/>
  <c r="A3" s="1"/>
  <c r="A4" s="1" a="1"/>
  <c r="A4" s="1"/>
  <c r="A15" l="1" a="1"/>
  <c r="A15" s="1"/>
  <c r="H15" s="1"/>
  <c r="K14" a="1"/>
  <c r="K14" s="1"/>
  <c r="H14"/>
  <c r="E13" a="1"/>
  <c r="E13" s="1"/>
  <c r="B3" a="1"/>
  <c r="B3" s="1"/>
  <c r="B4" a="1"/>
  <c r="B4" s="1"/>
  <c r="C4" a="1"/>
  <c r="C4" s="1"/>
  <c r="C3" a="1"/>
  <c r="C3" s="1"/>
  <c r="E2" a="1"/>
  <c r="E2" s="1"/>
  <c r="A5" a="1"/>
  <c r="A5" s="1"/>
  <c r="C5" s="1" a="1"/>
  <c r="C5" s="1"/>
  <c r="A16" l="1" a="1"/>
  <c r="A16" s="1"/>
  <c r="A17" s="1" a="1"/>
  <c r="A17" s="1"/>
  <c r="D15"/>
  <c r="F15"/>
  <c r="K15" a="1"/>
  <c r="K15" s="1"/>
  <c r="D14"/>
  <c r="F14"/>
  <c r="J15"/>
  <c r="J14"/>
  <c r="G13" a="1"/>
  <c r="G13" s="1"/>
  <c r="I13" s="1" a="1"/>
  <c r="I13" s="1"/>
  <c r="D4"/>
  <c r="D3"/>
  <c r="A6" a="1"/>
  <c r="A6" s="1"/>
  <c r="E6" s="1" a="1"/>
  <c r="E6" s="1"/>
  <c r="B5" a="1"/>
  <c r="B5" s="1"/>
  <c r="D5" s="1"/>
  <c r="E5" a="1"/>
  <c r="E5" s="1"/>
  <c r="E4" a="1"/>
  <c r="E4" s="1"/>
  <c r="F4" s="1"/>
  <c r="E3" a="1"/>
  <c r="E3" s="1"/>
  <c r="F3" s="1"/>
  <c r="G2" a="1"/>
  <c r="G2" s="1"/>
  <c r="F17" l="1"/>
  <c r="J17"/>
  <c r="K17" a="1"/>
  <c r="K17" s="1"/>
  <c r="K16" a="1"/>
  <c r="K16" s="1"/>
  <c r="A18" a="1"/>
  <c r="A18" s="1"/>
  <c r="F16"/>
  <c r="K13" a="1"/>
  <c r="K13" s="1"/>
  <c r="F5"/>
  <c r="B6" a="1"/>
  <c r="B6" s="1"/>
  <c r="F6" s="1"/>
  <c r="C6" a="1"/>
  <c r="C6" s="1"/>
  <c r="D6" s="1"/>
  <c r="A7" a="1"/>
  <c r="A7" s="1"/>
  <c r="G7" s="1" a="1"/>
  <c r="G7" s="1"/>
  <c r="G6" a="1"/>
  <c r="G6" s="1"/>
  <c r="H6" s="1"/>
  <c r="G5" a="1"/>
  <c r="G5" s="1"/>
  <c r="H5" s="1"/>
  <c r="G4" a="1"/>
  <c r="G4" s="1"/>
  <c r="H4" s="1"/>
  <c r="G3" a="1"/>
  <c r="G3" s="1"/>
  <c r="H3" s="1"/>
  <c r="A8" a="1"/>
  <c r="A8" s="1"/>
  <c r="G8" s="1" a="1"/>
  <c r="G8" s="1"/>
  <c r="H16" l="1"/>
  <c r="D17"/>
  <c r="K18" a="1"/>
  <c r="K18" s="1"/>
  <c r="F18"/>
  <c r="D18"/>
  <c r="H17"/>
  <c r="J16"/>
  <c r="A19" a="1"/>
  <c r="A19" s="1"/>
  <c r="A20" s="1" a="1"/>
  <c r="A20" s="1"/>
  <c r="D16"/>
  <c r="B8" a="1"/>
  <c r="B8" s="1"/>
  <c r="H8" s="1"/>
  <c r="C8" a="1"/>
  <c r="C8" s="1"/>
  <c r="E8" a="1"/>
  <c r="E8" s="1"/>
  <c r="B7" a="1"/>
  <c r="B7" s="1"/>
  <c r="H7" s="1"/>
  <c r="C7" a="1"/>
  <c r="C7" s="1"/>
  <c r="D7" s="1"/>
  <c r="E7" a="1"/>
  <c r="E7" s="1"/>
  <c r="F7" s="1"/>
  <c r="A9" a="1"/>
  <c r="A9" s="1"/>
  <c r="A10" s="1" a="1"/>
  <c r="A10" s="1"/>
  <c r="B1" i="5"/>
  <c r="B25" a="1"/>
  <c r="B25" s="1"/>
  <c r="R25" s="1"/>
  <c r="B26" a="1"/>
  <c r="B26" s="1"/>
  <c r="R26" s="1"/>
  <c r="B27" a="1"/>
  <c r="B27" s="1"/>
  <c r="R27" s="1"/>
  <c r="B28" a="1"/>
  <c r="B28" s="1"/>
  <c r="R28" s="1"/>
  <c r="B29" a="1"/>
  <c r="B29" s="1"/>
  <c r="R29" s="1"/>
  <c r="B30" a="1"/>
  <c r="B30" s="1"/>
  <c r="R30" s="1"/>
  <c r="B31" a="1"/>
  <c r="B31" s="1"/>
  <c r="R31" s="1"/>
  <c r="B24" a="1"/>
  <c r="B24" s="1"/>
  <c r="R24" s="1"/>
  <c r="B15" a="1"/>
  <c r="B15" s="1"/>
  <c r="J15" s="1"/>
  <c r="B16" a="1"/>
  <c r="B16" s="1"/>
  <c r="J16" s="1"/>
  <c r="B17" a="1"/>
  <c r="B17" s="1"/>
  <c r="J17" s="1"/>
  <c r="B18" a="1"/>
  <c r="B18" s="1"/>
  <c r="J18" s="1"/>
  <c r="B19" a="1"/>
  <c r="B19" s="1"/>
  <c r="J19" s="1"/>
  <c r="B20" a="1"/>
  <c r="B20" s="1"/>
  <c r="J20" s="1"/>
  <c r="B21" a="1"/>
  <c r="B21" s="1"/>
  <c r="J21" s="1"/>
  <c r="B14" a="1"/>
  <c r="B14" s="1"/>
  <c r="J14" s="1"/>
  <c r="B5" a="1"/>
  <c r="B5" s="1"/>
  <c r="D5" s="1"/>
  <c r="B6" a="1"/>
  <c r="B6" s="1"/>
  <c r="J6" s="1"/>
  <c r="B7" a="1"/>
  <c r="B7" s="1"/>
  <c r="J7" s="1"/>
  <c r="B8" a="1"/>
  <c r="B8" s="1"/>
  <c r="J8" s="1"/>
  <c r="B9" a="1"/>
  <c r="B9" s="1"/>
  <c r="J9" s="1"/>
  <c r="B10" a="1"/>
  <c r="B10" s="1"/>
  <c r="J10" s="1"/>
  <c r="B11" a="1"/>
  <c r="B11" s="1"/>
  <c r="J11" s="1"/>
  <c r="B4" a="1"/>
  <c r="B4" s="1"/>
  <c r="J4" s="1"/>
  <c r="K2" i="3"/>
  <c r="E2"/>
  <c r="K12"/>
  <c r="K37"/>
  <c r="K32"/>
  <c r="K27"/>
  <c r="K22"/>
  <c r="K17"/>
  <c r="K7"/>
  <c r="I41"/>
  <c r="I40"/>
  <c r="I39"/>
  <c r="I36"/>
  <c r="I35"/>
  <c r="I34"/>
  <c r="I31"/>
  <c r="I30"/>
  <c r="I29"/>
  <c r="I26"/>
  <c r="I25"/>
  <c r="I24"/>
  <c r="I21"/>
  <c r="I20"/>
  <c r="I19"/>
  <c r="J19" s="1"/>
  <c r="I16"/>
  <c r="I15"/>
  <c r="I14"/>
  <c r="I11"/>
  <c r="I10"/>
  <c r="I9"/>
  <c r="J9" s="1"/>
  <c r="K9" s="1"/>
  <c r="I6"/>
  <c r="I5"/>
  <c r="I4"/>
  <c r="I3"/>
  <c r="E7"/>
  <c r="E12"/>
  <c r="E37"/>
  <c r="E32"/>
  <c r="E27"/>
  <c r="J31" s="1"/>
  <c r="K31" s="1"/>
  <c r="E22"/>
  <c r="J24" s="1"/>
  <c r="K24" s="1"/>
  <c r="E17"/>
  <c r="C3"/>
  <c r="F17" i="2" a="1"/>
  <c r="F17" s="1"/>
  <c r="E17" a="1"/>
  <c r="E17" s="1"/>
  <c r="C15"/>
  <c r="F14"/>
  <c r="E15"/>
  <c r="C40" i="3"/>
  <c r="C41"/>
  <c r="C39"/>
  <c r="C35"/>
  <c r="C36"/>
  <c r="C34"/>
  <c r="C30"/>
  <c r="C31"/>
  <c r="C29"/>
  <c r="C25"/>
  <c r="C26"/>
  <c r="C24"/>
  <c r="C20"/>
  <c r="C21"/>
  <c r="C19"/>
  <c r="C15"/>
  <c r="C16"/>
  <c r="C14"/>
  <c r="C10"/>
  <c r="C11"/>
  <c r="C9"/>
  <c r="C5"/>
  <c r="C6"/>
  <c r="C4"/>
  <c r="L4" i="2"/>
  <c r="L3"/>
  <c r="L7"/>
  <c r="M7"/>
  <c r="L2"/>
  <c r="M2"/>
  <c r="K20" i="6" l="1" a="1"/>
  <c r="K20" s="1"/>
  <c r="H18"/>
  <c r="K19" a="1"/>
  <c r="K19" s="1"/>
  <c r="A21" a="1"/>
  <c r="A21" s="1"/>
  <c r="J18"/>
  <c r="D8"/>
  <c r="F8"/>
  <c r="B10" a="1"/>
  <c r="B10" s="1"/>
  <c r="C10" a="1"/>
  <c r="C10" s="1"/>
  <c r="D10" s="1"/>
  <c r="E10" a="1"/>
  <c r="E10" s="1"/>
  <c r="F10" s="1"/>
  <c r="G10" a="1"/>
  <c r="G10" s="1"/>
  <c r="H10" s="1"/>
  <c r="B9" a="1"/>
  <c r="B9" s="1"/>
  <c r="C9" a="1"/>
  <c r="C9" s="1"/>
  <c r="D9" s="1"/>
  <c r="E9" a="1"/>
  <c r="E9" s="1"/>
  <c r="F9" s="1"/>
  <c r="G9" a="1"/>
  <c r="G9" s="1"/>
  <c r="H9" s="1"/>
  <c r="J4" i="3"/>
  <c r="K4" s="1"/>
  <c r="J16"/>
  <c r="K16" s="1"/>
  <c r="J36"/>
  <c r="J41"/>
  <c r="K41" s="1"/>
  <c r="J29"/>
  <c r="K29" s="1"/>
  <c r="J26"/>
  <c r="K26" s="1"/>
  <c r="J15"/>
  <c r="K15" s="1"/>
  <c r="K36"/>
  <c r="J11"/>
  <c r="K11" s="1"/>
  <c r="J14"/>
  <c r="K14" s="1"/>
  <c r="D31" i="5"/>
  <c r="F31"/>
  <c r="H31"/>
  <c r="J31"/>
  <c r="L31"/>
  <c r="N31"/>
  <c r="P31"/>
  <c r="D24"/>
  <c r="F24"/>
  <c r="H24"/>
  <c r="J24"/>
  <c r="L24"/>
  <c r="N24"/>
  <c r="P24"/>
  <c r="J35" i="3"/>
  <c r="K35" s="1"/>
  <c r="D25" i="5"/>
  <c r="F25"/>
  <c r="H25"/>
  <c r="J25"/>
  <c r="L25"/>
  <c r="N25"/>
  <c r="P25"/>
  <c r="J34" i="3"/>
  <c r="K34" s="1"/>
  <c r="D26" i="5"/>
  <c r="F26"/>
  <c r="H26"/>
  <c r="J26"/>
  <c r="L26"/>
  <c r="N26"/>
  <c r="P26"/>
  <c r="D27"/>
  <c r="F27"/>
  <c r="H27"/>
  <c r="J27"/>
  <c r="L27"/>
  <c r="N27"/>
  <c r="P27"/>
  <c r="J40" i="3"/>
  <c r="K40" s="1"/>
  <c r="D28" i="5"/>
  <c r="F28"/>
  <c r="H28"/>
  <c r="J28"/>
  <c r="L28"/>
  <c r="N28"/>
  <c r="P28"/>
  <c r="J21" i="3"/>
  <c r="J39"/>
  <c r="D29" i="5"/>
  <c r="F29"/>
  <c r="H29"/>
  <c r="J29"/>
  <c r="L29"/>
  <c r="N29"/>
  <c r="P29"/>
  <c r="D30"/>
  <c r="F30"/>
  <c r="H30"/>
  <c r="J30"/>
  <c r="L30"/>
  <c r="N30"/>
  <c r="P30"/>
  <c r="J5"/>
  <c r="H5"/>
  <c r="F5"/>
  <c r="D15"/>
  <c r="F15"/>
  <c r="H15"/>
  <c r="D6"/>
  <c r="F6"/>
  <c r="H6"/>
  <c r="D16"/>
  <c r="F16"/>
  <c r="H16"/>
  <c r="D7"/>
  <c r="F7"/>
  <c r="H7"/>
  <c r="D17"/>
  <c r="F17"/>
  <c r="H17"/>
  <c r="D9"/>
  <c r="F9"/>
  <c r="H9"/>
  <c r="D19"/>
  <c r="F19"/>
  <c r="H19"/>
  <c r="D11"/>
  <c r="F11"/>
  <c r="H11"/>
  <c r="D21"/>
  <c r="F21"/>
  <c r="H21"/>
  <c r="D8"/>
  <c r="F8"/>
  <c r="H8"/>
  <c r="D18"/>
  <c r="F18"/>
  <c r="H18"/>
  <c r="D10"/>
  <c r="F10"/>
  <c r="H10"/>
  <c r="D20"/>
  <c r="F20"/>
  <c r="H20"/>
  <c r="D4"/>
  <c r="F4"/>
  <c r="H4"/>
  <c r="D14"/>
  <c r="F14"/>
  <c r="H14"/>
  <c r="J5" i="3"/>
  <c r="K5" s="1"/>
  <c r="J6"/>
  <c r="J3"/>
  <c r="K3" s="1"/>
  <c r="J10"/>
  <c r="K10" s="1"/>
  <c r="K21"/>
  <c r="J30"/>
  <c r="K30" s="1"/>
  <c r="J25"/>
  <c r="K25" s="1"/>
  <c r="J20"/>
  <c r="K20" s="1"/>
  <c r="K19"/>
  <c r="K39"/>
  <c r="K6"/>
  <c r="D26"/>
  <c r="E26" s="1"/>
  <c r="D9"/>
  <c r="E9" s="1"/>
  <c r="D20"/>
  <c r="E20" s="1"/>
  <c r="D36"/>
  <c r="E36" s="1"/>
  <c r="D3"/>
  <c r="E3" s="1"/>
  <c r="D11"/>
  <c r="E11" s="1"/>
  <c r="D5"/>
  <c r="E5" s="1"/>
  <c r="D21"/>
  <c r="E21" s="1"/>
  <c r="D41"/>
  <c r="E41" s="1"/>
  <c r="D35"/>
  <c r="E35" s="1"/>
  <c r="D34"/>
  <c r="E34" s="1"/>
  <c r="D15"/>
  <c r="E15" s="1"/>
  <c r="D31"/>
  <c r="E31" s="1"/>
  <c r="D6"/>
  <c r="E6" s="1"/>
  <c r="D19"/>
  <c r="E19" s="1"/>
  <c r="D30"/>
  <c r="E30" s="1"/>
  <c r="D16"/>
  <c r="E16" s="1"/>
  <c r="D29"/>
  <c r="E29" s="1"/>
  <c r="D40"/>
  <c r="E40" s="1"/>
  <c r="D14"/>
  <c r="E14" s="1"/>
  <c r="D25"/>
  <c r="E25" s="1"/>
  <c r="D10"/>
  <c r="E10" s="1"/>
  <c r="D39"/>
  <c r="E39" s="1"/>
  <c r="D24"/>
  <c r="E24" s="1"/>
  <c r="D4"/>
  <c r="E4" s="1"/>
  <c r="H20" i="6" l="1"/>
  <c r="J20"/>
  <c r="D20"/>
  <c r="F19"/>
  <c r="H21"/>
  <c r="K21" a="1"/>
  <c r="K21" s="1"/>
  <c r="H19"/>
  <c r="D19"/>
  <c r="F20"/>
  <c r="J19"/>
  <c r="I2" a="1"/>
  <c r="I2" s="1"/>
  <c r="F21" l="1"/>
  <c r="D21"/>
  <c r="J21"/>
  <c r="I7" a="1"/>
  <c r="I7" s="1"/>
  <c r="J7" s="1"/>
  <c r="I10" a="1"/>
  <c r="I10" s="1"/>
  <c r="J10" s="1"/>
  <c r="I6" a="1"/>
  <c r="I6" s="1"/>
  <c r="J6" s="1"/>
  <c r="K2" a="1"/>
  <c r="K2" s="1"/>
  <c r="I4" a="1"/>
  <c r="I4" s="1"/>
  <c r="J4" s="1"/>
  <c r="I8" a="1"/>
  <c r="I8" s="1"/>
  <c r="J8" s="1"/>
  <c r="I3" a="1"/>
  <c r="I3" s="1"/>
  <c r="J3" s="1"/>
  <c r="I5" a="1"/>
  <c r="I5" s="1"/>
  <c r="J5" s="1"/>
  <c r="I9" a="1"/>
  <c r="I9" s="1"/>
  <c r="J9" s="1"/>
  <c r="K9" l="1" a="1"/>
  <c r="K9" s="1"/>
  <c r="K5" a="1"/>
  <c r="K5" s="1"/>
  <c r="K6" a="1"/>
  <c r="K6" s="1"/>
  <c r="K4" a="1"/>
  <c r="K4" s="1"/>
  <c r="K8" a="1"/>
  <c r="K8" s="1"/>
  <c r="K10" a="1"/>
  <c r="K10" s="1"/>
  <c r="K3" a="1"/>
  <c r="K3" s="1"/>
  <c r="K7" a="1"/>
  <c r="K7" s="1"/>
</calcChain>
</file>

<file path=xl/sharedStrings.xml><?xml version="1.0" encoding="utf-8"?>
<sst xmlns="http://schemas.openxmlformats.org/spreadsheetml/2006/main" count="9784" uniqueCount="3650">
  <si>
    <t>Vertical</t>
  </si>
  <si>
    <t>Company / Account</t>
  </si>
  <si>
    <t>Lead Owner</t>
  </si>
  <si>
    <t>First Name</t>
  </si>
  <si>
    <t>Last Name</t>
  </si>
  <si>
    <t>Lead Status</t>
  </si>
  <si>
    <t>Title</t>
  </si>
  <si>
    <t>Lead Source</t>
  </si>
  <si>
    <t>Lead ID</t>
  </si>
  <si>
    <t>Restaurants - Full Serve / Casual Dining</t>
  </si>
  <si>
    <t>Darden Restaurants</t>
  </si>
  <si>
    <t>Michael Donohue</t>
  </si>
  <si>
    <t>Stephen</t>
  </si>
  <si>
    <t>Judge</t>
  </si>
  <si>
    <t>Unqualified</t>
  </si>
  <si>
    <t>Chief Executive Officer</t>
  </si>
  <si>
    <t>Cold Call - Internal</t>
  </si>
  <si>
    <t>00QF000000LoBO3</t>
  </si>
  <si>
    <t>Andrew</t>
  </si>
  <si>
    <t>Madsen</t>
  </si>
  <si>
    <t>President, Chief Operating Officer, Director</t>
  </si>
  <si>
    <t>00QF000000LoBO4</t>
  </si>
  <si>
    <t>Clarence</t>
  </si>
  <si>
    <t>Odis</t>
  </si>
  <si>
    <t>Chief Financial Officer</t>
  </si>
  <si>
    <t>00QF000000LoBO5</t>
  </si>
  <si>
    <t>Ian</t>
  </si>
  <si>
    <t>Olson</t>
  </si>
  <si>
    <t>Director Sustainability</t>
  </si>
  <si>
    <t>00QF000000LoBO6</t>
  </si>
  <si>
    <t>Brad</t>
  </si>
  <si>
    <t>Richmond</t>
  </si>
  <si>
    <t>Senior Vice President and Chief Financial Officer</t>
  </si>
  <si>
    <t>00QF000000LoBO8</t>
  </si>
  <si>
    <t>Retail - Grocery</t>
  </si>
  <si>
    <t>Delhaize America</t>
  </si>
  <si>
    <t>Richard</t>
  </si>
  <si>
    <t>Anicetti</t>
  </si>
  <si>
    <t>Open - Not Contacted</t>
  </si>
  <si>
    <t>Chief Executive Officer of Food Lion, President of Food Lion and Chief Operating</t>
  </si>
  <si>
    <t>00QF000000LoBOA</t>
  </si>
  <si>
    <t>Michael</t>
  </si>
  <si>
    <t>Byars</t>
  </si>
  <si>
    <t>Chief Operating Officer of Kash N Karry</t>
  </si>
  <si>
    <t>00QF000000LoBOB</t>
  </si>
  <si>
    <t>Paul</t>
  </si>
  <si>
    <t>Fritzson</t>
  </si>
  <si>
    <t>Chief Financial Officer of Hannaford Bros and Executive Vice President of Hannaf</t>
  </si>
  <si>
    <t>00QF000000LoBOC</t>
  </si>
  <si>
    <t>Laura</t>
  </si>
  <si>
    <t>Kendall</t>
  </si>
  <si>
    <t>Vice President of Finance, Chief Financial Officer of Food Lion and Executive Vi</t>
  </si>
  <si>
    <t>00QF000000LoBOD</t>
  </si>
  <si>
    <t>Pierre-Olivier</t>
  </si>
  <si>
    <t>Beckers</t>
  </si>
  <si>
    <t>President&amp;CEO</t>
  </si>
  <si>
    <t>00QF000000LoBOE</t>
  </si>
  <si>
    <t>Stefan</t>
  </si>
  <si>
    <t>Descheemaeker</t>
  </si>
  <si>
    <t>Member of the Executive Committee, Chief Financial Officer,EVP Delhaize Group</t>
  </si>
  <si>
    <t>00QF000000LoBOF</t>
  </si>
  <si>
    <t>Michel</t>
  </si>
  <si>
    <t>Eeckhout</t>
  </si>
  <si>
    <t>Member of the Executive Committee, EVP Delhaize Group, CEO Delhaize Belgium</t>
  </si>
  <si>
    <t>00QF000000LoBOG</t>
  </si>
  <si>
    <t>Ronald</t>
  </si>
  <si>
    <t>Hodge</t>
  </si>
  <si>
    <t>Member of the Executive Committee, EVP Delhaize Group, CEO Delhaize America</t>
  </si>
  <si>
    <t>00QF000000LoBOH</t>
  </si>
  <si>
    <t>Kostas</t>
  </si>
  <si>
    <t>Macheras</t>
  </si>
  <si>
    <t>Member of the Executive Commitee, Executive Vice President, CEO Delhaize Southea</t>
  </si>
  <si>
    <t>00QF000000LoBOI</t>
  </si>
  <si>
    <t>Restaurants - Quick Serve / Fast Food</t>
  </si>
  <si>
    <t>Jack in the Box</t>
  </si>
  <si>
    <t>Gary</t>
  </si>
  <si>
    <t>Beisler</t>
  </si>
  <si>
    <t>Chief Executive Officer and President, Qdoba Restaurant Corporation</t>
  </si>
  <si>
    <t>00QF000000LoBOV</t>
  </si>
  <si>
    <t>Lenny</t>
  </si>
  <si>
    <t>Comma</t>
  </si>
  <si>
    <t>Senior Vice President and Chief Operating Officer</t>
  </si>
  <si>
    <t>00QF000000LoBOW</t>
  </si>
  <si>
    <t>Jerry</t>
  </si>
  <si>
    <t>Rebel</t>
  </si>
  <si>
    <t>Chief Financial Officer, Executive Vice President</t>
  </si>
  <si>
    <t>00QF000000LoBOX</t>
  </si>
  <si>
    <t>Verdesca</t>
  </si>
  <si>
    <t>Vice President, Chief Information Officer</t>
  </si>
  <si>
    <t>00QF000000LoBOY</t>
  </si>
  <si>
    <t>Safeway</t>
  </si>
  <si>
    <t>Lynn</t>
  </si>
  <si>
    <t>Abayan</t>
  </si>
  <si>
    <t>Information Technology Director</t>
  </si>
  <si>
    <t>00QF000000LoBOZ</t>
  </si>
  <si>
    <t>Dennis</t>
  </si>
  <si>
    <t>Andruskiewicz</t>
  </si>
  <si>
    <t>Chief Operating Officer</t>
  </si>
  <si>
    <t>00QF000000LoBOa</t>
  </si>
  <si>
    <t>Steven</t>
  </si>
  <si>
    <t>Burd</t>
  </si>
  <si>
    <t>Independent Chairman of the Board, President, Chief Executive Officer</t>
  </si>
  <si>
    <t>00QF000000LoBOb</t>
  </si>
  <si>
    <t>Don</t>
  </si>
  <si>
    <t>Davidson</t>
  </si>
  <si>
    <t>Vice President Strategic Sourcing Group</t>
  </si>
  <si>
    <t>00QF000000LoBOd</t>
  </si>
  <si>
    <t>Robert</t>
  </si>
  <si>
    <t>Edwards</t>
  </si>
  <si>
    <t>00QF000000LoBOe</t>
  </si>
  <si>
    <t>Dianne</t>
  </si>
  <si>
    <t>Lamendola</t>
  </si>
  <si>
    <t>Vice President Information Technology</t>
  </si>
  <si>
    <t>00QF000000LoBOf</t>
  </si>
  <si>
    <t>McCready</t>
  </si>
  <si>
    <t>00QF000000LoBOg</t>
  </si>
  <si>
    <t>Dave</t>
  </si>
  <si>
    <t>Newton</t>
  </si>
  <si>
    <t>Director, Technology Strategy &amp; New Business Ventures</t>
  </si>
  <si>
    <t>00QF000000LoBOh</t>
  </si>
  <si>
    <t>Convenience Stores / Gas Stations</t>
  </si>
  <si>
    <t>Sunoco</t>
  </si>
  <si>
    <t>Elsenhans</t>
  </si>
  <si>
    <t>Chairman of the Board, President, Chief Executive Officer</t>
  </si>
  <si>
    <t>00QF000000LoBOk</t>
  </si>
  <si>
    <t>Greg</t>
  </si>
  <si>
    <t>Gombar</t>
  </si>
  <si>
    <t>00QF000000LoBOl</t>
  </si>
  <si>
    <t>Thomas</t>
  </si>
  <si>
    <t>Hoffman</t>
  </si>
  <si>
    <t>Senior Vice President &amp; Chief Financial Officer</t>
  </si>
  <si>
    <t>00QF000000LoBOm</t>
  </si>
  <si>
    <t>Joel</t>
  </si>
  <si>
    <t>Kriener</t>
  </si>
  <si>
    <t>Information Technology Corporate Executives Chief Financial Officer, Chief Techn</t>
  </si>
  <si>
    <t>00QF000000LoBOn</t>
  </si>
  <si>
    <t>Neal</t>
  </si>
  <si>
    <t>Murphy</t>
  </si>
  <si>
    <t>00QF000000LoBOo</t>
  </si>
  <si>
    <t>Thomson</t>
  </si>
  <si>
    <t>Senior Vice President, Sunoco, Inc.; President, SunCoke Energy, Inc.</t>
  </si>
  <si>
    <t>00QF000000LoBOp</t>
  </si>
  <si>
    <t>Peter</t>
  </si>
  <si>
    <t>Whatnell</t>
  </si>
  <si>
    <t>CIO</t>
  </si>
  <si>
    <t>00QF000000LoBOq</t>
  </si>
  <si>
    <t>Wendy's International, Inc.</t>
  </si>
  <si>
    <t>Sally</t>
  </si>
  <si>
    <t>Abshire</t>
  </si>
  <si>
    <t>Chief Operating Officer of Baja Fresh Mexican Grill</t>
  </si>
  <si>
    <t>00QF000000LoBPN</t>
  </si>
  <si>
    <t>Cynthia</t>
  </si>
  <si>
    <t>Devine</t>
  </si>
  <si>
    <t>Chief Financial Officer of Tim Hortons and Executive Vice President of Tim Horto</t>
  </si>
  <si>
    <t>00QF000000LoBPO</t>
  </si>
  <si>
    <t>Joseph</t>
  </si>
  <si>
    <t>Fitzsimmons</t>
  </si>
  <si>
    <t>Chief Financial Officer and Executive Vice President</t>
  </si>
  <si>
    <t>00QF000000LoBPP</t>
  </si>
  <si>
    <t>Brion</t>
  </si>
  <si>
    <t>Grube</t>
  </si>
  <si>
    <t>Chief Executive Officer of Baja Fresh Mexican Grill and President of Baja Fresh</t>
  </si>
  <si>
    <t>00QF000000LoBPQ</t>
  </si>
  <si>
    <t>Haggis</t>
  </si>
  <si>
    <t>00QF000000LoBPR</t>
  </si>
  <si>
    <t>David</t>
  </si>
  <si>
    <t>Near</t>
  </si>
  <si>
    <t>Chief Operating Officer, Chief Operating Officer of Wendys Brand and Member of F</t>
  </si>
  <si>
    <t>00QF000000LoBPS</t>
  </si>
  <si>
    <t>Randall</t>
  </si>
  <si>
    <t>Niemeyer</t>
  </si>
  <si>
    <t>Chief Financial Officer of Pasta Pomodoro</t>
  </si>
  <si>
    <t>00QF000000LoBPT</t>
  </si>
  <si>
    <t>James</t>
  </si>
  <si>
    <t>OÂConnor</t>
  </si>
  <si>
    <t>Chief Financial Officer of Wendys North America and Senior Vice President of Wen</t>
  </si>
  <si>
    <t>00QF000000LoBPU</t>
  </si>
  <si>
    <t>Adriano</t>
  </si>
  <si>
    <t>Paganini</t>
  </si>
  <si>
    <t>Chief Executive Officer of Pasta Pomodoro</t>
  </si>
  <si>
    <t>00QF000000LoBPV</t>
  </si>
  <si>
    <t>Roland</t>
  </si>
  <si>
    <t>Smith</t>
  </si>
  <si>
    <t>00QF000000LoBPW</t>
  </si>
  <si>
    <t>Wendy's Management Group, Inc.</t>
  </si>
  <si>
    <t>Goodrich</t>
  </si>
  <si>
    <t>Chairman and Chief Executive Officer</t>
  </si>
  <si>
    <t>00QF000000LoBPX</t>
  </si>
  <si>
    <t>Thuma</t>
  </si>
  <si>
    <t>President and Chief Financial Officer</t>
  </si>
  <si>
    <t>00QF000000LoBPY</t>
  </si>
  <si>
    <t>Winn-Dixie</t>
  </si>
  <si>
    <t>Maura</t>
  </si>
  <si>
    <t>Hart</t>
  </si>
  <si>
    <t>CIO and Group Vice President, IT</t>
  </si>
  <si>
    <t>00QF000000LoBPZ</t>
  </si>
  <si>
    <t>Marsha</t>
  </si>
  <si>
    <t>Ingram</t>
  </si>
  <si>
    <t>Executive Assistant to, Bennett Nussbaum; Senior Vice President &amp; Chief Financia</t>
  </si>
  <si>
    <t>00QF000000LoBPa</t>
  </si>
  <si>
    <t>Lynch</t>
  </si>
  <si>
    <t>President, Chief Executive Officer and Chairman of the Board</t>
  </si>
  <si>
    <t>00QF000000LoBPb</t>
  </si>
  <si>
    <t>Bennent</t>
  </si>
  <si>
    <t>Nessbaum</t>
  </si>
  <si>
    <t>00QF000000LoBPc</t>
  </si>
  <si>
    <t>Raymond</t>
  </si>
  <si>
    <t>Rhee</t>
  </si>
  <si>
    <t>00QF000000LoBPd</t>
  </si>
  <si>
    <t>Wendy's</t>
  </si>
  <si>
    <t>Emil</t>
  </si>
  <si>
    <t>Brolick</t>
  </si>
  <si>
    <t>Other</t>
  </si>
  <si>
    <t>00QF000000LoMct</t>
  </si>
  <si>
    <t>Yum!</t>
  </si>
  <si>
    <t>Roger</t>
  </si>
  <si>
    <t>McClendon</t>
  </si>
  <si>
    <t>Actively Working</t>
  </si>
  <si>
    <t>00QF000000LoN16</t>
  </si>
  <si>
    <t>Karen</t>
  </si>
  <si>
    <t>Sherman</t>
  </si>
  <si>
    <t>00QF000000LoN2x</t>
  </si>
  <si>
    <t>DineEquity</t>
  </si>
  <si>
    <t>Julia</t>
  </si>
  <si>
    <t>Stewart</t>
  </si>
  <si>
    <t>Nurturing</t>
  </si>
  <si>
    <t>Chairman and Cheif Executive Officer</t>
  </si>
  <si>
    <t>00QF000000LoS0i</t>
  </si>
  <si>
    <t>Tom</t>
  </si>
  <si>
    <t>Emrey</t>
  </si>
  <si>
    <t>00QF000000LoSOm</t>
  </si>
  <si>
    <t>SUPERVALU</t>
  </si>
  <si>
    <t>Erlandson</t>
  </si>
  <si>
    <t>VP of Government Affairs</t>
  </si>
  <si>
    <t>00QF000000LoTFF</t>
  </si>
  <si>
    <t>Sonuco</t>
  </si>
  <si>
    <t>Gayle</t>
  </si>
  <si>
    <t>Lloyd</t>
  </si>
  <si>
    <t>00QF000000LoTH9</t>
  </si>
  <si>
    <t>John</t>
  </si>
  <si>
    <t>Pickering</t>
  </si>
  <si>
    <t>Vice President, Operations Excellence</t>
  </si>
  <si>
    <t>00QF000000LoTHJ</t>
  </si>
  <si>
    <t>Rober</t>
  </si>
  <si>
    <t>Knorr</t>
  </si>
  <si>
    <t>Operations Manager</t>
  </si>
  <si>
    <t>00QF000000LoTHO</t>
  </si>
  <si>
    <t>Yuri</t>
  </si>
  <si>
    <t>Fokin</t>
  </si>
  <si>
    <t>00QF000000LoTHY</t>
  </si>
  <si>
    <t>Rick</t>
  </si>
  <si>
    <t>Crandell</t>
  </si>
  <si>
    <t>Director of Environmental Stewardship</t>
  </si>
  <si>
    <t>00QF000000LoTHs</t>
  </si>
  <si>
    <t>McIntyre</t>
  </si>
  <si>
    <t>Director of R&amp;D, Engineering and Environment</t>
  </si>
  <si>
    <t>00QF000000LoTHx</t>
  </si>
  <si>
    <t>Craig</t>
  </si>
  <si>
    <t>Herkert</t>
  </si>
  <si>
    <t>CEO and President</t>
  </si>
  <si>
    <t>00QF000000LoTI7</t>
  </si>
  <si>
    <t>Loblaw</t>
  </si>
  <si>
    <t>Galon</t>
  </si>
  <si>
    <t>Weston</t>
  </si>
  <si>
    <t>CEO</t>
  </si>
  <si>
    <t>00QF000000LoZIW</t>
  </si>
  <si>
    <t>Jonathan</t>
  </si>
  <si>
    <t>Mayes</t>
  </si>
  <si>
    <t>SVP Corporate Responsibility</t>
  </si>
  <si>
    <t>00QF000000LoZIu</t>
  </si>
  <si>
    <t>Food Lion</t>
  </si>
  <si>
    <t>Scott</t>
  </si>
  <si>
    <t>Hollar</t>
  </si>
  <si>
    <t>Corporate Responsibility Manager</t>
  </si>
  <si>
    <t>00QF000000LoZL4</t>
  </si>
  <si>
    <t>Maia</t>
  </si>
  <si>
    <t>McNair</t>
  </si>
  <si>
    <t>Responsible sourcing manager</t>
  </si>
  <si>
    <t>00QF000000LoZLE</t>
  </si>
  <si>
    <t>Lacourse</t>
  </si>
  <si>
    <t>Director of productivity</t>
  </si>
  <si>
    <t>00QF000000LoZLd</t>
  </si>
  <si>
    <t>Chris</t>
  </si>
  <si>
    <t>Lewis</t>
  </si>
  <si>
    <t>VP of SC</t>
  </si>
  <si>
    <t>00QF000000LoZLn</t>
  </si>
  <si>
    <t>Susan</t>
  </si>
  <si>
    <t>Sollenberger</t>
  </si>
  <si>
    <t>Director</t>
  </si>
  <si>
    <t>00QF000000LoZM7</t>
  </si>
  <si>
    <t>Veroni</t>
  </si>
  <si>
    <t>Group Director</t>
  </si>
  <si>
    <t>00QF000000LoZMg</t>
  </si>
  <si>
    <t>Graham</t>
  </si>
  <si>
    <t>Leary</t>
  </si>
  <si>
    <t>VP of Strategic Sourcing</t>
  </si>
  <si>
    <t>00QF000000LoZMw</t>
  </si>
  <si>
    <t>McKeiss</t>
  </si>
  <si>
    <t>VP of Corporate Branding</t>
  </si>
  <si>
    <t>00QF000000LoZO3</t>
  </si>
  <si>
    <t>Publix Super Markets</t>
  </si>
  <si>
    <t>William</t>
  </si>
  <si>
    <t>Crenshaw</t>
  </si>
  <si>
    <t>00QF000000LoZOS</t>
  </si>
  <si>
    <t>CFO</t>
  </si>
  <si>
    <t>Philips</t>
  </si>
  <si>
    <t>00QF000000LoZOh</t>
  </si>
  <si>
    <t>Hewett</t>
  </si>
  <si>
    <t>Director of Environmental and Sustainability Programs</t>
  </si>
  <si>
    <t>00QF000000LoZOw</t>
  </si>
  <si>
    <t>Love</t>
  </si>
  <si>
    <t>Chief Energy Conservation Officer</t>
  </si>
  <si>
    <t>00QF000000LoZPu</t>
  </si>
  <si>
    <t>Bob</t>
  </si>
  <si>
    <t>Chant</t>
  </si>
  <si>
    <t>00QF000000LoZQ4</t>
  </si>
  <si>
    <t>Bill</t>
  </si>
  <si>
    <t>Wells</t>
  </si>
  <si>
    <t>00QF000000LoZQE</t>
  </si>
  <si>
    <t>A&amp;W / Long John Silver</t>
  </si>
  <si>
    <t>John Richmond</t>
  </si>
  <si>
    <t>Doug</t>
  </si>
  <si>
    <t>Kays</t>
  </si>
  <si>
    <t>Trade Show</t>
  </si>
  <si>
    <t>00QA0000006wRwi</t>
  </si>
  <si>
    <t>Arby's</t>
  </si>
  <si>
    <t>Huch</t>
  </si>
  <si>
    <t>00QA0000006wRwj</t>
  </si>
  <si>
    <t>Steve</t>
  </si>
  <si>
    <t>Lazenby</t>
  </si>
  <si>
    <t>00QA0000006wRwk</t>
  </si>
  <si>
    <t>Bridgeman Foods (Wendy's)</t>
  </si>
  <si>
    <t>Lisa L.</t>
  </si>
  <si>
    <t>Kennedy</t>
  </si>
  <si>
    <t>00QA0000006wRwn</t>
  </si>
  <si>
    <t>Chick-Fil-A</t>
  </si>
  <si>
    <t>Brian</t>
  </si>
  <si>
    <t>Grady</t>
  </si>
  <si>
    <t>00QA0000006wRwu</t>
  </si>
  <si>
    <t>McCleskey</t>
  </si>
  <si>
    <t>00QA0000006wRwv</t>
  </si>
  <si>
    <t>Jamba Juice</t>
  </si>
  <si>
    <t>Dale</t>
  </si>
  <si>
    <t>Goss</t>
  </si>
  <si>
    <t>00QA0000006wRxB</t>
  </si>
  <si>
    <t>Kentucky Fried Chicken</t>
  </si>
  <si>
    <t>Gresham</t>
  </si>
  <si>
    <t>00QA0000006wRxH</t>
  </si>
  <si>
    <t>Tim</t>
  </si>
  <si>
    <t>Hegarty</t>
  </si>
  <si>
    <t>00QA0000006wRxI</t>
  </si>
  <si>
    <t>Little Caesars</t>
  </si>
  <si>
    <t>Lafever</t>
  </si>
  <si>
    <t>00QA0000006wRxJ</t>
  </si>
  <si>
    <t>Panera Bread Company</t>
  </si>
  <si>
    <t>Dean</t>
  </si>
  <si>
    <t>DeNardi</t>
  </si>
  <si>
    <t>00QA0000006wRxP</t>
  </si>
  <si>
    <t>Mike</t>
  </si>
  <si>
    <t>Nolan</t>
  </si>
  <si>
    <t>00QA0000006wRxQ</t>
  </si>
  <si>
    <t>Bipin</t>
  </si>
  <si>
    <t>Patel</t>
  </si>
  <si>
    <t>00QA0000006wRxR</t>
  </si>
  <si>
    <t>Ribant</t>
  </si>
  <si>
    <t>VP, Development</t>
  </si>
  <si>
    <t>00QA0000006wRxS</t>
  </si>
  <si>
    <t>Ken</t>
  </si>
  <si>
    <t>Sisk</t>
  </si>
  <si>
    <t>00QA0000006wRxT</t>
  </si>
  <si>
    <t>Skiles</t>
  </si>
  <si>
    <t>00QA0000006wRxU</t>
  </si>
  <si>
    <t>Tomasella</t>
  </si>
  <si>
    <t>00QA0000006wRxV</t>
  </si>
  <si>
    <t>Pizza Hut</t>
  </si>
  <si>
    <t>Jacobson</t>
  </si>
  <si>
    <t>00QA0000006wRxZ</t>
  </si>
  <si>
    <t>Charles</t>
  </si>
  <si>
    <t>Mills</t>
  </si>
  <si>
    <t>Development</t>
  </si>
  <si>
    <t>00QA0000006wRxa</t>
  </si>
  <si>
    <t>Qdoba</t>
  </si>
  <si>
    <t>DuVall</t>
  </si>
  <si>
    <t>00QA0000006wRxb</t>
  </si>
  <si>
    <t>Puckett</t>
  </si>
  <si>
    <t>Director of Construction</t>
  </si>
  <si>
    <t>00QA0000006wRxc</t>
  </si>
  <si>
    <t>Quiznos Subs</t>
  </si>
  <si>
    <t>Ashley</t>
  </si>
  <si>
    <t>Campbell</t>
  </si>
  <si>
    <t>00QA0000006wRxd</t>
  </si>
  <si>
    <t>Bojangles</t>
  </si>
  <si>
    <t>Jordan</t>
  </si>
  <si>
    <t>00QA0000008uASD</t>
  </si>
  <si>
    <t>Bailey</t>
  </si>
  <si>
    <t>Dir, Franchise Dev</t>
  </si>
  <si>
    <t>00QA0000008uASE</t>
  </si>
  <si>
    <t>Popeyes Chicken &amp; Biscuits (AFC Enterprises)</t>
  </si>
  <si>
    <t>Wallace</t>
  </si>
  <si>
    <t>Director of Development</t>
  </si>
  <si>
    <t>00QA0000008uASJ</t>
  </si>
  <si>
    <t>Conklin</t>
  </si>
  <si>
    <t>VP of Construction</t>
  </si>
  <si>
    <t>00QA0000008uASR</t>
  </si>
  <si>
    <t>Janet</t>
  </si>
  <si>
    <t>Hook</t>
  </si>
  <si>
    <t>Director, Design Creative</t>
  </si>
  <si>
    <t>00QA0000008uL2f</t>
  </si>
  <si>
    <t>Luby's</t>
  </si>
  <si>
    <t>Rokas</t>
  </si>
  <si>
    <t>00QA0000008uL3Y</t>
  </si>
  <si>
    <t>Gregg</t>
  </si>
  <si>
    <t>Lollis</t>
  </si>
  <si>
    <t>Construction/National Accounts Director</t>
  </si>
  <si>
    <t>00QA000000D9EZd</t>
  </si>
  <si>
    <t>Troy</t>
  </si>
  <si>
    <t>Tripp</t>
  </si>
  <si>
    <t>Design &amp; Construction, National Accounts</t>
  </si>
  <si>
    <t>00QA000000D9EZe</t>
  </si>
  <si>
    <t>El Pollo Loco</t>
  </si>
  <si>
    <t>Daniel</t>
  </si>
  <si>
    <t>Milojevich</t>
  </si>
  <si>
    <t>Director, Facilities</t>
  </si>
  <si>
    <t>00QA000000D9EZu</t>
  </si>
  <si>
    <t>United Foodservice Purchasing Co-op LLC</t>
  </si>
  <si>
    <t>Sara</t>
  </si>
  <si>
    <t>Ackerman</t>
  </si>
  <si>
    <t>Energy Analyst</t>
  </si>
  <si>
    <t>00QA000000D9Eaz</t>
  </si>
  <si>
    <t>Director of Equipment Purchasing and Maintenance</t>
  </si>
  <si>
    <t>00QA000000GpANo</t>
  </si>
  <si>
    <t>Pepper Dining</t>
  </si>
  <si>
    <t>Amerault</t>
  </si>
  <si>
    <t>Director of Facilities</t>
  </si>
  <si>
    <t>00QA000000IifQ5</t>
  </si>
  <si>
    <t>Ford</t>
  </si>
  <si>
    <t>Vice President of Construction</t>
  </si>
  <si>
    <t>00QA000000IifQ6</t>
  </si>
  <si>
    <t>Elizabeth</t>
  </si>
  <si>
    <t>-</t>
  </si>
  <si>
    <t>00QF000000LnAM3</t>
  </si>
  <si>
    <t>Smoothie King</t>
  </si>
  <si>
    <t>Bret</t>
  </si>
  <si>
    <t>Cunningham</t>
  </si>
  <si>
    <t>Director of Design and Construction</t>
  </si>
  <si>
    <t>00QF000000LnAMj</t>
  </si>
  <si>
    <t>Orange Julius</t>
  </si>
  <si>
    <t>Jim</t>
  </si>
  <si>
    <t>Kerr</t>
  </si>
  <si>
    <t>VP Franchise Development</t>
  </si>
  <si>
    <t>00QF000000LnAMm</t>
  </si>
  <si>
    <t>Rally's</t>
  </si>
  <si>
    <t>Crawford</t>
  </si>
  <si>
    <t>President Facilities Manager</t>
  </si>
  <si>
    <t>00QF000000LnAMt</t>
  </si>
  <si>
    <t>Ben &amp; Jerry's</t>
  </si>
  <si>
    <t>Janette</t>
  </si>
  <si>
    <t>Cole</t>
  </si>
  <si>
    <t>Plant Manager</t>
  </si>
  <si>
    <t>00QF000000LnAMv</t>
  </si>
  <si>
    <t>TCBY</t>
  </si>
  <si>
    <t>Rob</t>
  </si>
  <si>
    <t>Streett</t>
  </si>
  <si>
    <t>Senior VP Franchise Development</t>
  </si>
  <si>
    <t>00QF000000LnAMw</t>
  </si>
  <si>
    <t>Baskin-Robbins</t>
  </si>
  <si>
    <t>Janice</t>
  </si>
  <si>
    <t>Franchisee Development</t>
  </si>
  <si>
    <t>00QF000000LnAMy</t>
  </si>
  <si>
    <t>Caribou Coffee</t>
  </si>
  <si>
    <t>Martha</t>
  </si>
  <si>
    <t>Hrobak</t>
  </si>
  <si>
    <t>Facilities Manager</t>
  </si>
  <si>
    <t>00QF000000LnAMz</t>
  </si>
  <si>
    <t>Jersey Mike's Subs</t>
  </si>
  <si>
    <t>Cancro</t>
  </si>
  <si>
    <t>Owner</t>
  </si>
  <si>
    <t>00QF000000LnAN0</t>
  </si>
  <si>
    <t>Regina</t>
  </si>
  <si>
    <t>Paddock</t>
  </si>
  <si>
    <t>Sr. Director of Facilities &amp; Secuirity</t>
  </si>
  <si>
    <t>00QF000000LnAN1</t>
  </si>
  <si>
    <t>Sbarro</t>
  </si>
  <si>
    <t>Justin</t>
  </si>
  <si>
    <t>Keenen</t>
  </si>
  <si>
    <t>Store Systems Manager</t>
  </si>
  <si>
    <t>00QF000000LnAN8</t>
  </si>
  <si>
    <t>Panda Express</t>
  </si>
  <si>
    <t>Jimmy</t>
  </si>
  <si>
    <t>Zhou</t>
  </si>
  <si>
    <t>Director Facility/ Maintenance</t>
  </si>
  <si>
    <t>00QF000000LnANA</t>
  </si>
  <si>
    <t>Culvers</t>
  </si>
  <si>
    <t>Spangler</t>
  </si>
  <si>
    <t>Facilities Project and Maintenance Manager</t>
  </si>
  <si>
    <t>00QF000000LnANE</t>
  </si>
  <si>
    <t>Josefina</t>
  </si>
  <si>
    <t>Garcia</t>
  </si>
  <si>
    <t>Construction and Facilities</t>
  </si>
  <si>
    <t>00QF000000LnANF</t>
  </si>
  <si>
    <t>Long John Silver's</t>
  </si>
  <si>
    <t>Karen/Patrick</t>
  </si>
  <si>
    <t>Smith/Hentzen</t>
  </si>
  <si>
    <t>00QF000000LnANJ</t>
  </si>
  <si>
    <t>Pizza Pro</t>
  </si>
  <si>
    <t>Stevens</t>
  </si>
  <si>
    <t>President</t>
  </si>
  <si>
    <t>00QF000000LnANL</t>
  </si>
  <si>
    <t>Krystal</t>
  </si>
  <si>
    <t>Jeff</t>
  </si>
  <si>
    <t>Haynes</t>
  </si>
  <si>
    <t>Director of Operations</t>
  </si>
  <si>
    <t>00QF000000LnANQ</t>
  </si>
  <si>
    <t>Laruie</t>
  </si>
  <si>
    <t>Chrisner</t>
  </si>
  <si>
    <t>Manager of Franchise Technologies</t>
  </si>
  <si>
    <t>00QF000000LnANT</t>
  </si>
  <si>
    <t>Cinnabon</t>
  </si>
  <si>
    <t>Goodman</t>
  </si>
  <si>
    <t>VP Franchise Administration</t>
  </si>
  <si>
    <t>00QF000000LnANU</t>
  </si>
  <si>
    <t>Noble Roman's Pizza</t>
  </si>
  <si>
    <t>Mitchell</t>
  </si>
  <si>
    <t>Grunat</t>
  </si>
  <si>
    <t>VP Franchise Services</t>
  </si>
  <si>
    <t>00QF000000LnANX</t>
  </si>
  <si>
    <t>Steak n Shake</t>
  </si>
  <si>
    <t>Weaver</t>
  </si>
  <si>
    <t>Manager Facility/ Maintenance</t>
  </si>
  <si>
    <t>00QF000000LnANY</t>
  </si>
  <si>
    <t>Al</t>
  </si>
  <si>
    <t>Balagna</t>
  </si>
  <si>
    <t>Franchise and Equipment Manager</t>
  </si>
  <si>
    <t>00QF000000LnANc</t>
  </si>
  <si>
    <t>The Coffee Bean &amp; Tea Leaf</t>
  </si>
  <si>
    <t>Phil</t>
  </si>
  <si>
    <t>Patent</t>
  </si>
  <si>
    <t>Director of Territory Development</t>
  </si>
  <si>
    <t>00QF000000LnANd</t>
  </si>
  <si>
    <t>Boston Market</t>
  </si>
  <si>
    <t>Lasky</t>
  </si>
  <si>
    <t>Architectural Design Professional</t>
  </si>
  <si>
    <t>00QF000000LnANh</t>
  </si>
  <si>
    <t>Hungry Howie's Pizza</t>
  </si>
  <si>
    <t>Jackson</t>
  </si>
  <si>
    <t>Owner, President</t>
  </si>
  <si>
    <t>00QF000000LnANi</t>
  </si>
  <si>
    <t>Jimmy John's</t>
  </si>
  <si>
    <t>Clark</t>
  </si>
  <si>
    <t>Mandigo</t>
  </si>
  <si>
    <t>VP of Operations</t>
  </si>
  <si>
    <t>00QF000000LnANk</t>
  </si>
  <si>
    <t>Rita's Water Ice</t>
  </si>
  <si>
    <t>Dan</t>
  </si>
  <si>
    <t>Gilmore</t>
  </si>
  <si>
    <t>VP Operations at Ritas</t>
  </si>
  <si>
    <t>00QF000000LnANl</t>
  </si>
  <si>
    <t>Pretzel Time</t>
  </si>
  <si>
    <t>Kim</t>
  </si>
  <si>
    <t>Nunez</t>
  </si>
  <si>
    <t>Director Franchise Recruiting</t>
  </si>
  <si>
    <t>00QF000000LnANq</t>
  </si>
  <si>
    <t>Subway</t>
  </si>
  <si>
    <t>Rita</t>
  </si>
  <si>
    <t>Patton</t>
  </si>
  <si>
    <t>00QF000000LnANs</t>
  </si>
  <si>
    <t>Whataburger</t>
  </si>
  <si>
    <t>Amy</t>
  </si>
  <si>
    <t>Dahmm</t>
  </si>
  <si>
    <t>Purchasing Assistant</t>
  </si>
  <si>
    <t>00QF000000LnAO0</t>
  </si>
  <si>
    <t>Charley's Grilled Subs</t>
  </si>
  <si>
    <t>Elliott</t>
  </si>
  <si>
    <t>Director, Design &amp; Construction</t>
  </si>
  <si>
    <t>00QF000000LnAO3</t>
  </si>
  <si>
    <t>Blake</t>
  </si>
  <si>
    <t>Bristow</t>
  </si>
  <si>
    <t>Director, Support Services</t>
  </si>
  <si>
    <t>00QF000000LnAO4</t>
  </si>
  <si>
    <t>Homemade Pizza</t>
  </si>
  <si>
    <t>Surman,</t>
  </si>
  <si>
    <t>VP, Architecture &amp; Development</t>
  </si>
  <si>
    <t>00QF000000LnAO5</t>
  </si>
  <si>
    <t>Carlson Restaurants (TGI Friday's)</t>
  </si>
  <si>
    <t>O'Keefe</t>
  </si>
  <si>
    <t>VP Real Estate &amp; Construction</t>
  </si>
  <si>
    <t>00QF000000LnAO6</t>
  </si>
  <si>
    <t>Toppers Pizza</t>
  </si>
  <si>
    <t>Curtis</t>
  </si>
  <si>
    <t>White</t>
  </si>
  <si>
    <t>Director, Construction of Facilities</t>
  </si>
  <si>
    <t>00QF000000LnAOF</t>
  </si>
  <si>
    <t>Milne</t>
  </si>
  <si>
    <t>VP, Architecture &amp; Design</t>
  </si>
  <si>
    <t>00QF000000LnAOL</t>
  </si>
  <si>
    <t>Randy</t>
  </si>
  <si>
    <t>Alper</t>
  </si>
  <si>
    <t>Regional Facilities Manager</t>
  </si>
  <si>
    <t>00QF000000LnAOT</t>
  </si>
  <si>
    <t>Elevation Franchise Ventures</t>
  </si>
  <si>
    <t>Jessica</t>
  </si>
  <si>
    <t>Ordona</t>
  </si>
  <si>
    <t>Real Estate Manager</t>
  </si>
  <si>
    <t>00QF000000LnAOW</t>
  </si>
  <si>
    <t>G&amp;G Foods</t>
  </si>
  <si>
    <t>Joe</t>
  </si>
  <si>
    <t>Johnston</t>
  </si>
  <si>
    <t>COO</t>
  </si>
  <si>
    <t>00QF000000LnAOX</t>
  </si>
  <si>
    <t>WingStop</t>
  </si>
  <si>
    <t>McDonald</t>
  </si>
  <si>
    <t>VP, Construction</t>
  </si>
  <si>
    <t>00QF000000LnAOY</t>
  </si>
  <si>
    <t>International Restaurant Management Group</t>
  </si>
  <si>
    <t>Kelly</t>
  </si>
  <si>
    <t>Yeung</t>
  </si>
  <si>
    <t>00QF000000LnAOe</t>
  </si>
  <si>
    <t>Retail - Medium Box</t>
  </si>
  <si>
    <t>AutoZone</t>
  </si>
  <si>
    <t>Mac McBryde</t>
  </si>
  <si>
    <t>Energy Manager</t>
  </si>
  <si>
    <t>00QF000000LnAOi</t>
  </si>
  <si>
    <t>The Michael Angelo Group</t>
  </si>
  <si>
    <t>Dell'Angelo</t>
  </si>
  <si>
    <t>00QF000000LnAOr</t>
  </si>
  <si>
    <t>Mrs. Field`s/ TCBY</t>
  </si>
  <si>
    <t>Hooker</t>
  </si>
  <si>
    <t>Sr. Director, Design &amp; Construction</t>
  </si>
  <si>
    <t>00QF000000LnAP2</t>
  </si>
  <si>
    <t>Retail - Small Box</t>
  </si>
  <si>
    <t>Rocky Mountain Chocolate Factory</t>
  </si>
  <si>
    <t>Gregory</t>
  </si>
  <si>
    <t>Pope</t>
  </si>
  <si>
    <t>Director Design</t>
  </si>
  <si>
    <t>00QF000000LnAPA</t>
  </si>
  <si>
    <t>BR IP Holder LLC (Baskin-Robbins)</t>
  </si>
  <si>
    <t>Astor</t>
  </si>
  <si>
    <t>VP Developmet</t>
  </si>
  <si>
    <t>00QF000000LnAPC</t>
  </si>
  <si>
    <t>Papa John's Pizza</t>
  </si>
  <si>
    <t>Edward</t>
  </si>
  <si>
    <t>Director, Real Estate</t>
  </si>
  <si>
    <t>00QF000000LnAPN</t>
  </si>
  <si>
    <t>Maid-Rite</t>
  </si>
  <si>
    <t>Vilmain</t>
  </si>
  <si>
    <t>Facilties Mgr.</t>
  </si>
  <si>
    <t>Cold Call - External</t>
  </si>
  <si>
    <t>00QF000000LnHGb</t>
  </si>
  <si>
    <t>BJ's Restaurant</t>
  </si>
  <si>
    <t>Donald (Don)</t>
  </si>
  <si>
    <t>Gardner Jr.</t>
  </si>
  <si>
    <t>VP Restaurant Facilities</t>
  </si>
  <si>
    <t>00QF000000LnHGd</t>
  </si>
  <si>
    <t>McCormick &amp; Schmick's</t>
  </si>
  <si>
    <t>Ron</t>
  </si>
  <si>
    <t>Johnson</t>
  </si>
  <si>
    <t>Facilities Mgr.</t>
  </si>
  <si>
    <t>00QF000000LnHGh</t>
  </si>
  <si>
    <t>Ruth's Chris Steak House</t>
  </si>
  <si>
    <t>Fred</t>
  </si>
  <si>
    <t>Gemeinhardt</t>
  </si>
  <si>
    <t>VP Facilities and Maintenance</t>
  </si>
  <si>
    <t>00QF000000LnHH6</t>
  </si>
  <si>
    <t>Landry's</t>
  </si>
  <si>
    <t>Strain</t>
  </si>
  <si>
    <t>00QF000000LnHHZ</t>
  </si>
  <si>
    <t>Real Mex Restaurants</t>
  </si>
  <si>
    <t>Raymond (Ray)</t>
  </si>
  <si>
    <t>SVP Operations</t>
  </si>
  <si>
    <t>00QF000000LnHHl</t>
  </si>
  <si>
    <t>Casey</t>
  </si>
  <si>
    <t>Elliot</t>
  </si>
  <si>
    <t>00QF000000LnHHm</t>
  </si>
  <si>
    <t>Claude</t>
  </si>
  <si>
    <t>Facilities Director</t>
  </si>
  <si>
    <t>00QF000000LnHIF</t>
  </si>
  <si>
    <t>IPC/SUBWAY</t>
  </si>
  <si>
    <t>Nick</t>
  </si>
  <si>
    <t>Pusta</t>
  </si>
  <si>
    <t>00QF000000LnHIJ</t>
  </si>
  <si>
    <t>Miller Group (Arby's)</t>
  </si>
  <si>
    <t>Tracy</t>
  </si>
  <si>
    <t>Operations</t>
  </si>
  <si>
    <t>00QF000000LnHIR</t>
  </si>
  <si>
    <t>FedEx Kinko's</t>
  </si>
  <si>
    <t>Carolyn</t>
  </si>
  <si>
    <t>Nash</t>
  </si>
  <si>
    <t>Maintenance and Repair Analyst at FedEx Office</t>
  </si>
  <si>
    <t>00QF000000LnrQ6</t>
  </si>
  <si>
    <t>Marsh</t>
  </si>
  <si>
    <t>Facilities Construction Manager at Arby's Restaurant Group</t>
  </si>
  <si>
    <t>00QF000000Lo5cm</t>
  </si>
  <si>
    <t>Chuck</t>
  </si>
  <si>
    <t>Pollard</t>
  </si>
  <si>
    <t>Regional Construction Manager at Qdoba Restaurant Corporation</t>
  </si>
  <si>
    <t>00QF000000Lo5kt</t>
  </si>
  <si>
    <t>Tomsick</t>
  </si>
  <si>
    <t>Senior Director - Transportation, Distribution and Energy</t>
  </si>
  <si>
    <t>00QF000000LoBGI</t>
  </si>
  <si>
    <t>Dover</t>
  </si>
  <si>
    <t>00QF000000LoBGL</t>
  </si>
  <si>
    <t>Belinda</t>
  </si>
  <si>
    <t>Carrera</t>
  </si>
  <si>
    <t>Gatekeeper</t>
  </si>
  <si>
    <t>00QF000000LoBGM</t>
  </si>
  <si>
    <t>Boyle</t>
  </si>
  <si>
    <t>00QF000000LoBGN</t>
  </si>
  <si>
    <t>Celina</t>
  </si>
  <si>
    <t>Claudio</t>
  </si>
  <si>
    <t>Assistant to VP of Finance</t>
  </si>
  <si>
    <t>00QF000000LoBGc</t>
  </si>
  <si>
    <t>Nydia</t>
  </si>
  <si>
    <t>Casas</t>
  </si>
  <si>
    <t>VP, Purchasing</t>
  </si>
  <si>
    <t>00QF000000LoBGd</t>
  </si>
  <si>
    <t>Cantwell</t>
  </si>
  <si>
    <t>SVP Development &amp; Construction</t>
  </si>
  <si>
    <t>00QF000000LoBGe</t>
  </si>
  <si>
    <t>Silhanek</t>
  </si>
  <si>
    <t>00QF000000LoBGf</t>
  </si>
  <si>
    <t>Edgar</t>
  </si>
  <si>
    <t>Santiago</t>
  </si>
  <si>
    <t>00QF000000LoBGg</t>
  </si>
  <si>
    <t>Terry</t>
  </si>
  <si>
    <t>Byerly</t>
  </si>
  <si>
    <t>Facility Coach</t>
  </si>
  <si>
    <t>00QF000000LoBGl</t>
  </si>
  <si>
    <t>Wes</t>
  </si>
  <si>
    <t>Jablonski</t>
  </si>
  <si>
    <t>Chief Development Officer</t>
  </si>
  <si>
    <t>00QF000000LoBGs</t>
  </si>
  <si>
    <t>Fatz Cafe</t>
  </si>
  <si>
    <t>Wayne</t>
  </si>
  <si>
    <t>Schreck</t>
  </si>
  <si>
    <t>Store Services Project Manager</t>
  </si>
  <si>
    <t>00QF000000LoBGw</t>
  </si>
  <si>
    <t>Kam</t>
  </si>
  <si>
    <t>McNabb</t>
  </si>
  <si>
    <t>Purchasing Manager</t>
  </si>
  <si>
    <t>00QF000000LoBGx</t>
  </si>
  <si>
    <t>KLee</t>
  </si>
  <si>
    <t>Loskill</t>
  </si>
  <si>
    <t>Manager, Architecture and Design</t>
  </si>
  <si>
    <t>00QF000000LoBGy</t>
  </si>
  <si>
    <t>Ken Elder</t>
  </si>
  <si>
    <t>00QF000000LoBH0</t>
  </si>
  <si>
    <t>Thies</t>
  </si>
  <si>
    <t>Sr Manager Sustainability</t>
  </si>
  <si>
    <t>00QF000000LoBH2</t>
  </si>
  <si>
    <t>Brandt</t>
  </si>
  <si>
    <t>00QF000000LoBH3</t>
  </si>
  <si>
    <t>Larry</t>
  </si>
  <si>
    <t>Fichuk</t>
  </si>
  <si>
    <t>00QF000000LoBH4</t>
  </si>
  <si>
    <t>Dawson</t>
  </si>
  <si>
    <t>Vice President - Development Services</t>
  </si>
  <si>
    <t>00QF000000LoBH5</t>
  </si>
  <si>
    <t>Taco Bueno Restaurants</t>
  </si>
  <si>
    <t>Wohead</t>
  </si>
  <si>
    <t>00QF000000LoBH6</t>
  </si>
  <si>
    <t>Taco Cabana</t>
  </si>
  <si>
    <t>Burun</t>
  </si>
  <si>
    <t>00QF000000LoBH7</t>
  </si>
  <si>
    <t>Elbert</t>
  </si>
  <si>
    <t>Assistant Facilities Manager</t>
  </si>
  <si>
    <t>00QF000000LoBH8</t>
  </si>
  <si>
    <t>Berry</t>
  </si>
  <si>
    <t>Field Director, Maintenance Services</t>
  </si>
  <si>
    <t>00QF000000LoBHB</t>
  </si>
  <si>
    <t>Carpenter</t>
  </si>
  <si>
    <t>Corporate Director of Maintenance Services</t>
  </si>
  <si>
    <t>00QF000000LoBHC</t>
  </si>
  <si>
    <t>Bungert</t>
  </si>
  <si>
    <t>Direct, Supply and Services</t>
  </si>
  <si>
    <t>00QF000000LoBHD</t>
  </si>
  <si>
    <t>Reaves</t>
  </si>
  <si>
    <t>Director Maintenance/Facilities</t>
  </si>
  <si>
    <t>00QF000000LoBHE</t>
  </si>
  <si>
    <t>Which Wich</t>
  </si>
  <si>
    <t>Vickers</t>
  </si>
  <si>
    <t>00QF000000LoBHF</t>
  </si>
  <si>
    <t>Amanda</t>
  </si>
  <si>
    <t>Clayton</t>
  </si>
  <si>
    <t>Director, Logistics</t>
  </si>
  <si>
    <t>00QF000000LoBHG</t>
  </si>
  <si>
    <t>Laskey</t>
  </si>
  <si>
    <t>Director, Purchasing</t>
  </si>
  <si>
    <t>00QF000000LoBHH</t>
  </si>
  <si>
    <t>Henjes</t>
  </si>
  <si>
    <t>00QF000000LoBJ9</t>
  </si>
  <si>
    <t>Pearson</t>
  </si>
  <si>
    <t>00QF000000LoBJI</t>
  </si>
  <si>
    <t>Jared</t>
  </si>
  <si>
    <t>Madry</t>
  </si>
  <si>
    <t>Manager-Maintenance &amp; Energy</t>
  </si>
  <si>
    <t>00QF000000LoBJJ</t>
  </si>
  <si>
    <t>Cracker Barrel</t>
  </si>
  <si>
    <t>Sweeney</t>
  </si>
  <si>
    <t>Director of Facility Services</t>
  </si>
  <si>
    <t>00QF000000LoDKm</t>
  </si>
  <si>
    <t>Director of Facilities and Reinvestment</t>
  </si>
  <si>
    <t>00QF000000LoDKo</t>
  </si>
  <si>
    <t>Director of Product Facilities Ordering and Software Lifecycle</t>
  </si>
  <si>
    <t>00QF000000LoDKp</t>
  </si>
  <si>
    <t>American Restaurant Group</t>
  </si>
  <si>
    <t>Bowles</t>
  </si>
  <si>
    <t>Director of Facilities Management</t>
  </si>
  <si>
    <t>00QF000000LoDL2</t>
  </si>
  <si>
    <t>Centerplate</t>
  </si>
  <si>
    <t>Jon</t>
  </si>
  <si>
    <t>Muscalo</t>
  </si>
  <si>
    <t>Vice President Facilities Design</t>
  </si>
  <si>
    <t>00QF000000LoDL6</t>
  </si>
  <si>
    <t>Heartland Food</t>
  </si>
  <si>
    <t>Macdonald</t>
  </si>
  <si>
    <t>00QF000000LoDL7</t>
  </si>
  <si>
    <t>Il Fornaio (America)</t>
  </si>
  <si>
    <t>Kelli</t>
  </si>
  <si>
    <t>Schmidtke</t>
  </si>
  <si>
    <t>Director of Construction and Facilities</t>
  </si>
  <si>
    <t>00QF000000LoDL8</t>
  </si>
  <si>
    <t>Magic Brands</t>
  </si>
  <si>
    <t>Fonville</t>
  </si>
  <si>
    <t>Vice President of Facilities</t>
  </si>
  <si>
    <t>00QF000000LoDL9</t>
  </si>
  <si>
    <t>00QF000000LoDM7</t>
  </si>
  <si>
    <t>HOA Restaurant Group (Hooters Franchisee)</t>
  </si>
  <si>
    <t>Robby</t>
  </si>
  <si>
    <t>Fichtel</t>
  </si>
  <si>
    <t>Manager Construction, Facility/Maintenance</t>
  </si>
  <si>
    <t>00QF000000LoDMY</t>
  </si>
  <si>
    <t>Shoney's</t>
  </si>
  <si>
    <t>Damon</t>
  </si>
  <si>
    <t>Davoudpour</t>
  </si>
  <si>
    <t>Director Marketing</t>
  </si>
  <si>
    <t>00QF000000LoDMa</t>
  </si>
  <si>
    <t>Villa Enterprises</t>
  </si>
  <si>
    <t>Adam</t>
  </si>
  <si>
    <t>Torine</t>
  </si>
  <si>
    <t>VP Business Development</t>
  </si>
  <si>
    <t>00QF000000LoDMg</t>
  </si>
  <si>
    <t>Corner Bakery Cafe</t>
  </si>
  <si>
    <t>Snyder</t>
  </si>
  <si>
    <t>00QF000000Loyjr</t>
  </si>
  <si>
    <t>O'Charley's</t>
  </si>
  <si>
    <t>Becky</t>
  </si>
  <si>
    <t>Burton</t>
  </si>
  <si>
    <t>00QF000000LoykS</t>
  </si>
  <si>
    <t>Vezina</t>
  </si>
  <si>
    <t>Construction Manager</t>
  </si>
  <si>
    <t>00QF000000LoykT</t>
  </si>
  <si>
    <t>On The Border</t>
  </si>
  <si>
    <t>Philip</t>
  </si>
  <si>
    <t>Risley</t>
  </si>
  <si>
    <t>Senior Risk Manager</t>
  </si>
  <si>
    <t>00QF000000LoykU</t>
  </si>
  <si>
    <t>Maple Leaf Bakery</t>
  </si>
  <si>
    <t>Patrick</t>
  </si>
  <si>
    <t>Norton</t>
  </si>
  <si>
    <t>Project Engineering Manager</t>
  </si>
  <si>
    <t>00QF000000LoykV</t>
  </si>
  <si>
    <t>Awful Arthurs</t>
  </si>
  <si>
    <t>Todd</t>
  </si>
  <si>
    <t>Lancaster</t>
  </si>
  <si>
    <t>00QF000000LoykW</t>
  </si>
  <si>
    <t>Buca, Inc.</t>
  </si>
  <si>
    <t>Jones</t>
  </si>
  <si>
    <t>Director-Facilities Management</t>
  </si>
  <si>
    <t>00QF000000LoykX</t>
  </si>
  <si>
    <t>Country Cookin</t>
  </si>
  <si>
    <t>Preston</t>
  </si>
  <si>
    <t>Facilities</t>
  </si>
  <si>
    <t>00QF000000LoykY</t>
  </si>
  <si>
    <t>00QF000000LoykZ</t>
  </si>
  <si>
    <t>Noodles</t>
  </si>
  <si>
    <t>Maestas</t>
  </si>
  <si>
    <t>00QF000000Loyka</t>
  </si>
  <si>
    <t>Cable</t>
  </si>
  <si>
    <t>00QF000000Loykb</t>
  </si>
  <si>
    <t>Josh</t>
  </si>
  <si>
    <t>Rains</t>
  </si>
  <si>
    <t>00QF000000Loykc</t>
  </si>
  <si>
    <t>Cheryl</t>
  </si>
  <si>
    <t>Hiser</t>
  </si>
  <si>
    <t>00QF000000Loykd</t>
  </si>
  <si>
    <t>Matt</t>
  </si>
  <si>
    <t>Kaufmann</t>
  </si>
  <si>
    <t>Senior Facilities Manager at On The Border Mexican Grill &amp; Cantina</t>
  </si>
  <si>
    <t>00QF000000Loyke</t>
  </si>
  <si>
    <t>Nafziger</t>
  </si>
  <si>
    <t>Controller</t>
  </si>
  <si>
    <t>00QF000000Loykf</t>
  </si>
  <si>
    <t>Moore</t>
  </si>
  <si>
    <t>00QF000000Loykg</t>
  </si>
  <si>
    <t>Muschewske</t>
  </si>
  <si>
    <t>00QF000000Loykh</t>
  </si>
  <si>
    <t>Tatsch</t>
  </si>
  <si>
    <t>Global Engineering</t>
  </si>
  <si>
    <t>00QF000000Loyki</t>
  </si>
  <si>
    <t>Famous Daves</t>
  </si>
  <si>
    <t>Mike Pluff</t>
  </si>
  <si>
    <t>Connors</t>
  </si>
  <si>
    <t>00QA0000006wRx4</t>
  </si>
  <si>
    <t>Houlihans</t>
  </si>
  <si>
    <t>Shaw</t>
  </si>
  <si>
    <t>00QA0000006wRx8</t>
  </si>
  <si>
    <t>Kurt</t>
  </si>
  <si>
    <t>Thuenemann</t>
  </si>
  <si>
    <t>00QA0000006wRx9</t>
  </si>
  <si>
    <t>Meijer</t>
  </si>
  <si>
    <t>Lyman</t>
  </si>
  <si>
    <t>Parks</t>
  </si>
  <si>
    <t>Innovation Specialist Properties</t>
  </si>
  <si>
    <t>00QA0000007XqGB</t>
  </si>
  <si>
    <t>Samsonite</t>
  </si>
  <si>
    <t>Manager of Real Estate</t>
  </si>
  <si>
    <t>00QA0000007XqGC</t>
  </si>
  <si>
    <t>Spartan Stores</t>
  </si>
  <si>
    <t>Art</t>
  </si>
  <si>
    <t>O'strander</t>
  </si>
  <si>
    <t>Director of Dsign and Construction</t>
  </si>
  <si>
    <t>00QA0000007XqGN</t>
  </si>
  <si>
    <t>JoAnn Fabric &amp; Craft Stores</t>
  </si>
  <si>
    <t>Debbie</t>
  </si>
  <si>
    <t>Mansfield</t>
  </si>
  <si>
    <t>Director, Energy &amp; Facilities</t>
  </si>
  <si>
    <t>00QA0000007XqGP</t>
  </si>
  <si>
    <t>Hy-Vee</t>
  </si>
  <si>
    <t>Markey</t>
  </si>
  <si>
    <t>Assistant VP Engineering Construction</t>
  </si>
  <si>
    <t>00QA0000007XqGT</t>
  </si>
  <si>
    <t>Dots</t>
  </si>
  <si>
    <t>00QA0000008uAS0</t>
  </si>
  <si>
    <t>Cash Stores</t>
  </si>
  <si>
    <t>Frederick</t>
  </si>
  <si>
    <t>00QA0000008uAS2</t>
  </si>
  <si>
    <t>White Castle</t>
  </si>
  <si>
    <t>00QA0000008uAS3</t>
  </si>
  <si>
    <t>MetroPCS</t>
  </si>
  <si>
    <t>Jamie</t>
  </si>
  <si>
    <t>Chatterton</t>
  </si>
  <si>
    <t>Director, Merchandising &amp; Retail Expansion</t>
  </si>
  <si>
    <t>00QA0000008uL2P</t>
  </si>
  <si>
    <t>Jiffy Lube</t>
  </si>
  <si>
    <t>Marcus</t>
  </si>
  <si>
    <t>Duffel</t>
  </si>
  <si>
    <t>Construction/Facilities Development Manager</t>
  </si>
  <si>
    <t>00QA0000008uL2T</t>
  </si>
  <si>
    <t>Smashburger</t>
  </si>
  <si>
    <t>Ernster</t>
  </si>
  <si>
    <t>00QA0000008uL2V</t>
  </si>
  <si>
    <t>Francesca`s Collections</t>
  </si>
  <si>
    <t>Christian</t>
  </si>
  <si>
    <t>Goedde</t>
  </si>
  <si>
    <t>00QA0000008uL2b</t>
  </si>
  <si>
    <t>Hot Topic</t>
  </si>
  <si>
    <t>Gray</t>
  </si>
  <si>
    <t>00QA0000008uL2d</t>
  </si>
  <si>
    <t>US Cellular</t>
  </si>
  <si>
    <t>Senior Manager for Contracts</t>
  </si>
  <si>
    <t>00QA0000008uL2r</t>
  </si>
  <si>
    <t>Phillips- Van Heusen (PVH Corp.)</t>
  </si>
  <si>
    <t>Jeannine</t>
  </si>
  <si>
    <t>Podesta</t>
  </si>
  <si>
    <t>Director, Store Design &amp; Planning</t>
  </si>
  <si>
    <t>00QA0000008uL2v</t>
  </si>
  <si>
    <t>L.L. Bean</t>
  </si>
  <si>
    <t>Reynolds</t>
  </si>
  <si>
    <t>Director of Facilities Planning and Management</t>
  </si>
  <si>
    <t>00QA0000008uL2x</t>
  </si>
  <si>
    <t>Ayca</t>
  </si>
  <si>
    <t>Stiffel</t>
  </si>
  <si>
    <t>Director of Store Planning &amp; Design</t>
  </si>
  <si>
    <t>00QA0000008uL34</t>
  </si>
  <si>
    <t>Sprint Nextel</t>
  </si>
  <si>
    <t>Drew</t>
  </si>
  <si>
    <t>Thompson</t>
  </si>
  <si>
    <t>Manager, Real Estate Strategy &amp; Planning</t>
  </si>
  <si>
    <t>00QA0000008uL39</t>
  </si>
  <si>
    <t>Ace Cash Express</t>
  </si>
  <si>
    <t>Stiles</t>
  </si>
  <si>
    <t>Director of leasing &amp; Real Estate</t>
  </si>
  <si>
    <t>00QA0000008uL3Q</t>
  </si>
  <si>
    <t>H&amp;R Block</t>
  </si>
  <si>
    <t>Lisa</t>
  </si>
  <si>
    <t>Abele</t>
  </si>
  <si>
    <t>Program Mgr</t>
  </si>
  <si>
    <t>00QA000000D9EZz</t>
  </si>
  <si>
    <t>Jos. A. Bank Clothiers</t>
  </si>
  <si>
    <t>Jason</t>
  </si>
  <si>
    <t>Cherry</t>
  </si>
  <si>
    <t>00QA000000D9Ea9</t>
  </si>
  <si>
    <t>Nash Finch</t>
  </si>
  <si>
    <t>Melanie</t>
  </si>
  <si>
    <t>Clement</t>
  </si>
  <si>
    <t>Director, Design and Construction</t>
  </si>
  <si>
    <t>00QA000000GpANk</t>
  </si>
  <si>
    <t>Ausenhus</t>
  </si>
  <si>
    <t>Senior Vice President of Real Estate &amp; Engineering</t>
  </si>
  <si>
    <t>00QA000000GpANn</t>
  </si>
  <si>
    <t>Retail - Big Box</t>
  </si>
  <si>
    <t>OfficeMax</t>
  </si>
  <si>
    <t>Director, Retail Store Facilities</t>
  </si>
  <si>
    <t>00QF000000LmfN7</t>
  </si>
  <si>
    <t>Pacific Sunwear of California</t>
  </si>
  <si>
    <t>Hayward</t>
  </si>
  <si>
    <t>Cheesebourough</t>
  </si>
  <si>
    <t>Director of Construction at Pacific Sunwear</t>
  </si>
  <si>
    <t>00QF000000LmgSu</t>
  </si>
  <si>
    <t>Gap</t>
  </si>
  <si>
    <t>Walsh</t>
  </si>
  <si>
    <t>Director Strategic Sourcing at Gap Inc.</t>
  </si>
  <si>
    <t>00QF000000Lmi2Y</t>
  </si>
  <si>
    <t>Goodyear Tire &amp; Rubber</t>
  </si>
  <si>
    <t>Theresa</t>
  </si>
  <si>
    <t>Manager Facilities and Equipment</t>
  </si>
  <si>
    <t>00QF000000Lmi5w</t>
  </si>
  <si>
    <t>The Body Shop</t>
  </si>
  <si>
    <t>Echeandia</t>
  </si>
  <si>
    <t>Real Estate and Construction at The Body Shop</t>
  </si>
  <si>
    <t>00QF000000Lmzmd</t>
  </si>
  <si>
    <t>Estee Lauder Cosmetics</t>
  </si>
  <si>
    <t>Bauer</t>
  </si>
  <si>
    <t>Manager, Retail Store Operations at Estee Lauder</t>
  </si>
  <si>
    <t>00QF000000Ln6W7</t>
  </si>
  <si>
    <t>Forever 21</t>
  </si>
  <si>
    <t>Yang</t>
  </si>
  <si>
    <t>Construction Project Manager</t>
  </si>
  <si>
    <t>00QF000000LnA8Q</t>
  </si>
  <si>
    <t>Gymboree</t>
  </si>
  <si>
    <t>Aguirre</t>
  </si>
  <si>
    <t>Sr. Director, Construction and Store Planning</t>
  </si>
  <si>
    <t>00QF000000LnA8S</t>
  </si>
  <si>
    <t>The Walking Company</t>
  </si>
  <si>
    <t>Aulenta</t>
  </si>
  <si>
    <t>Senior Manager Store Planning</t>
  </si>
  <si>
    <t>00QF000000LnA8U</t>
  </si>
  <si>
    <t>Papyrus</t>
  </si>
  <si>
    <t>Linda</t>
  </si>
  <si>
    <t>Graves</t>
  </si>
  <si>
    <t>Facilities Coordinator</t>
  </si>
  <si>
    <t>00QF000000LnA8V</t>
  </si>
  <si>
    <t>United Rentals</t>
  </si>
  <si>
    <t>Shuluk</t>
  </si>
  <si>
    <t>Director of Construction &amp; Facilities Management</t>
  </si>
  <si>
    <t>00QF000000LnA8c</t>
  </si>
  <si>
    <t>Tire Kingdom</t>
  </si>
  <si>
    <t>Barker</t>
  </si>
  <si>
    <t>Sr. Director of Construction and Facility Operations</t>
  </si>
  <si>
    <t>00QF000000LnA8o</t>
  </si>
  <si>
    <t>Ace Hardware</t>
  </si>
  <si>
    <t>Facility Manager</t>
  </si>
  <si>
    <t>00QF000000LnA92</t>
  </si>
  <si>
    <t>Blattel</t>
  </si>
  <si>
    <t>National Energy Manager</t>
  </si>
  <si>
    <t>00QF000000LnA9B</t>
  </si>
  <si>
    <t>C &amp; J Clark</t>
  </si>
  <si>
    <t>00QF000000LnA9I</t>
  </si>
  <si>
    <t>Ritz Camera Centers</t>
  </si>
  <si>
    <t>Maurice</t>
  </si>
  <si>
    <t>Page</t>
  </si>
  <si>
    <t>Manager Facilities Management</t>
  </si>
  <si>
    <t>00QF000000LnA9L</t>
  </si>
  <si>
    <t>Gallant</t>
  </si>
  <si>
    <t>VP of Facilities Development</t>
  </si>
  <si>
    <t>00QF000000LnA9M</t>
  </si>
  <si>
    <t>Penske Automotive Group</t>
  </si>
  <si>
    <t>Jeffer</t>
  </si>
  <si>
    <t>Anderson</t>
  </si>
  <si>
    <t>Director Corporate Construction</t>
  </si>
  <si>
    <t>00QF000000LnA9U</t>
  </si>
  <si>
    <t>Global Partners (Carpet One)</t>
  </si>
  <si>
    <t>Wisnoski</t>
  </si>
  <si>
    <t>00QF000000LnA9Y</t>
  </si>
  <si>
    <t>Fix</t>
  </si>
  <si>
    <t>Director of Real Estate, Construction, Facilities</t>
  </si>
  <si>
    <t>00QF000000LnA9e</t>
  </si>
  <si>
    <t>Rack Room Shoes</t>
  </si>
  <si>
    <t>Harrison</t>
  </si>
  <si>
    <t>Facilities Supervisor</t>
  </si>
  <si>
    <t>00QF000000LnA9f</t>
  </si>
  <si>
    <t>Dunphy</t>
  </si>
  <si>
    <t>Maintenance Manager</t>
  </si>
  <si>
    <t>00QF000000LnAA8</t>
  </si>
  <si>
    <t>Monro Muffler Brake</t>
  </si>
  <si>
    <t>Boehme</t>
  </si>
  <si>
    <t>Finance Manager</t>
  </si>
  <si>
    <t>00QF000000LnAA9</t>
  </si>
  <si>
    <t>Bud</t>
  </si>
  <si>
    <t>Bordner</t>
  </si>
  <si>
    <t>00QF000000LnAAA</t>
  </si>
  <si>
    <t>Tiffany &amp; Co.</t>
  </si>
  <si>
    <t>Obert</t>
  </si>
  <si>
    <t>Project Architect</t>
  </si>
  <si>
    <t>00QF000000LnAAC</t>
  </si>
  <si>
    <t>Pentland Group</t>
  </si>
  <si>
    <t>00QF000000LnAAD</t>
  </si>
  <si>
    <t>Coach</t>
  </si>
  <si>
    <t>Abbe</t>
  </si>
  <si>
    <t>Kalfus</t>
  </si>
  <si>
    <t>Director of Facilities and Administrative Services</t>
  </si>
  <si>
    <t>00QF000000LnAAF</t>
  </si>
  <si>
    <t>Minuteman Press International</t>
  </si>
  <si>
    <t>Ryan</t>
  </si>
  <si>
    <t>Titus</t>
  </si>
  <si>
    <t>Manager Marketing</t>
  </si>
  <si>
    <t>00QF000000LnAAI</t>
  </si>
  <si>
    <t>Burberry</t>
  </si>
  <si>
    <t>Andrus</t>
  </si>
  <si>
    <t>Director, Store Development &amp; Design</t>
  </si>
  <si>
    <t>00QF000000LnAAK</t>
  </si>
  <si>
    <t>Doles</t>
  </si>
  <si>
    <t>Global Construction Projects</t>
  </si>
  <si>
    <t>00QF000000LnAAT</t>
  </si>
  <si>
    <t>Chapman</t>
  </si>
  <si>
    <t>Vice President Store Development &amp; Facilities</t>
  </si>
  <si>
    <t>00QF000000LnAAV</t>
  </si>
  <si>
    <t>Adidas</t>
  </si>
  <si>
    <t>Danny</t>
  </si>
  <si>
    <t>Giesbrecht</t>
  </si>
  <si>
    <t>Senior Manager of Construction</t>
  </si>
  <si>
    <t>00QF000000LnAAd</t>
  </si>
  <si>
    <t>rue21</t>
  </si>
  <si>
    <t>Zoe</t>
  </si>
  <si>
    <t>Miller</t>
  </si>
  <si>
    <t>00QF000000LnAAk</t>
  </si>
  <si>
    <t>Kirkland's</t>
  </si>
  <si>
    <t>Harris</t>
  </si>
  <si>
    <t>VP Store Operations</t>
  </si>
  <si>
    <t>00QF000000LnAAt</t>
  </si>
  <si>
    <t>Radio Shack</t>
  </si>
  <si>
    <t>Carroll</t>
  </si>
  <si>
    <t>00QF000000LnAAw</t>
  </si>
  <si>
    <t>EZCORP</t>
  </si>
  <si>
    <t>Gageby</t>
  </si>
  <si>
    <t>Facilities &amp; Construction Manager</t>
  </si>
  <si>
    <t>00QF000000LnAB5</t>
  </si>
  <si>
    <t>AT&amp;T</t>
  </si>
  <si>
    <t>Beth</t>
  </si>
  <si>
    <t>Krueger</t>
  </si>
  <si>
    <t>Director Corporate Real Estate</t>
  </si>
  <si>
    <t>00QF000000LnAB6</t>
  </si>
  <si>
    <t>Tuesday Morning</t>
  </si>
  <si>
    <t>Janis</t>
  </si>
  <si>
    <t>Williams</t>
  </si>
  <si>
    <t>Director Store Facilities</t>
  </si>
  <si>
    <t>00QF000000LnABA</t>
  </si>
  <si>
    <t>Vickie</t>
  </si>
  <si>
    <t>AVP, Corporate Real Estate</t>
  </si>
  <si>
    <t>00QF000000LnABD</t>
  </si>
  <si>
    <t>Zumiez</t>
  </si>
  <si>
    <t>Ellis</t>
  </si>
  <si>
    <t>VP of Real Estate and Construction</t>
  </si>
  <si>
    <t>00QF000000LnABO</t>
  </si>
  <si>
    <t>Noel</t>
  </si>
  <si>
    <t>Clemons</t>
  </si>
  <si>
    <t>Director System Administration</t>
  </si>
  <si>
    <t>00QF000000LnAJg</t>
  </si>
  <si>
    <t>Butera &amp; Andrews</t>
  </si>
  <si>
    <t>00QF000000LnALW</t>
  </si>
  <si>
    <t>Martin's Super Markets</t>
  </si>
  <si>
    <t>Loutzenhiser</t>
  </si>
  <si>
    <t>Operations Specialist</t>
  </si>
  <si>
    <t>00QF000000LnALc</t>
  </si>
  <si>
    <t>Shop 'n Save</t>
  </si>
  <si>
    <t>00QF000000LnALi</t>
  </si>
  <si>
    <t>Coborn's</t>
  </si>
  <si>
    <t>Peterson</t>
  </si>
  <si>
    <t>Warehouse Supervisor</t>
  </si>
  <si>
    <t>00QF000000LnALl</t>
  </si>
  <si>
    <t>Cub Foods</t>
  </si>
  <si>
    <t>Gordy</t>
  </si>
  <si>
    <t>Farrington</t>
  </si>
  <si>
    <t>00QF000000LnALm</t>
  </si>
  <si>
    <t>Dominick's</t>
  </si>
  <si>
    <t>Andy</t>
  </si>
  <si>
    <t>Witherell</t>
  </si>
  <si>
    <t>VP Real Estate</t>
  </si>
  <si>
    <t>00QF000000LnALo</t>
  </si>
  <si>
    <t>Fareway Stores</t>
  </si>
  <si>
    <t>Beckwith</t>
  </si>
  <si>
    <t>Vice President</t>
  </si>
  <si>
    <t>00QF000000LnALr</t>
  </si>
  <si>
    <t>Total Wine</t>
  </si>
  <si>
    <t>West</t>
  </si>
  <si>
    <t>Project Manager</t>
  </si>
  <si>
    <t>00QF000000LnAMB</t>
  </si>
  <si>
    <t>Frank</t>
  </si>
  <si>
    <t>Remsburg</t>
  </si>
  <si>
    <t>00QF000000LnAMK</t>
  </si>
  <si>
    <t>Lowe's Pay and Save</t>
  </si>
  <si>
    <t>Director Advertising</t>
  </si>
  <si>
    <t>00QF000000LnAMR</t>
  </si>
  <si>
    <t>Calvin Klein</t>
  </si>
  <si>
    <t>00QF000000LnAMq</t>
  </si>
  <si>
    <t>Alexander</t>
  </si>
  <si>
    <t>00QF000000LnAMs</t>
  </si>
  <si>
    <t>Shoe Carnival</t>
  </si>
  <si>
    <t>Faltus</t>
  </si>
  <si>
    <t>00QF000000LnAMu</t>
  </si>
  <si>
    <t>Bowman</t>
  </si>
  <si>
    <t>VP Store Design and Construction</t>
  </si>
  <si>
    <t>00QF000000LnAN2</t>
  </si>
  <si>
    <t>Facility Director</t>
  </si>
  <si>
    <t>00QF000000LnAN6</t>
  </si>
  <si>
    <t>Shea</t>
  </si>
  <si>
    <t>McGarry</t>
  </si>
  <si>
    <t>Manager, Real Estate Operations</t>
  </si>
  <si>
    <t>00QF000000LnAN7</t>
  </si>
  <si>
    <t>Evans</t>
  </si>
  <si>
    <t>Manager of Construction</t>
  </si>
  <si>
    <t>00QF000000LnAN9</t>
  </si>
  <si>
    <t>Bath and Body Works</t>
  </si>
  <si>
    <t>Polacek</t>
  </si>
  <si>
    <t>Store Maintenance</t>
  </si>
  <si>
    <t>00QF000000LnANB</t>
  </si>
  <si>
    <t>Sean</t>
  </si>
  <si>
    <t>Turner</t>
  </si>
  <si>
    <t>00QF000000LnANC</t>
  </si>
  <si>
    <t>Spencer Gifts</t>
  </si>
  <si>
    <t>Pratt</t>
  </si>
  <si>
    <t>Director of Store Planning</t>
  </si>
  <si>
    <t>00QF000000LnAND</t>
  </si>
  <si>
    <t>Nike</t>
  </si>
  <si>
    <t>Lonny</t>
  </si>
  <si>
    <t>Knabe</t>
  </si>
  <si>
    <t>Manufacturing Energy and CO2 Director</t>
  </si>
  <si>
    <t>00QF000000LnANI</t>
  </si>
  <si>
    <t>Tony</t>
  </si>
  <si>
    <t>Lago</t>
  </si>
  <si>
    <t>00QF000000LnANP</t>
  </si>
  <si>
    <t>Godfather's Pizza</t>
  </si>
  <si>
    <t>Clifford</t>
  </si>
  <si>
    <t>Director Franchise Services</t>
  </si>
  <si>
    <t>00QF000000LnANV</t>
  </si>
  <si>
    <t>Guess?</t>
  </si>
  <si>
    <t>Koch</t>
  </si>
  <si>
    <t>Development and Construction Program</t>
  </si>
  <si>
    <t>00QF000000LnANm</t>
  </si>
  <si>
    <t>H&amp;M</t>
  </si>
  <si>
    <t>Pat</t>
  </si>
  <si>
    <t>Guerra</t>
  </si>
  <si>
    <t>Country Facilities Manager</t>
  </si>
  <si>
    <t>00QF000000LnANn</t>
  </si>
  <si>
    <t>Ann Taylor</t>
  </si>
  <si>
    <t>Coakley</t>
  </si>
  <si>
    <t>00QF000000LnANo</t>
  </si>
  <si>
    <t>Zara</t>
  </si>
  <si>
    <t>Paula</t>
  </si>
  <si>
    <t>Vazquez</t>
  </si>
  <si>
    <t>00QF000000LnANp</t>
  </si>
  <si>
    <t>J. Crew</t>
  </si>
  <si>
    <t>Holly</t>
  </si>
  <si>
    <t>Cohen</t>
  </si>
  <si>
    <t>SVP Planning and Construction</t>
  </si>
  <si>
    <t>00QF000000LnANr</t>
  </si>
  <si>
    <t>Briad Group</t>
  </si>
  <si>
    <t>Barbrick</t>
  </si>
  <si>
    <t>00QF000000LnANy</t>
  </si>
  <si>
    <t>Collective Brands (Payless Shoe Source)</t>
  </si>
  <si>
    <t>Sue</t>
  </si>
  <si>
    <t>Kristiansen</t>
  </si>
  <si>
    <t>VP Construction and Facilities</t>
  </si>
  <si>
    <t>00QF000000LnAOc</t>
  </si>
  <si>
    <t>Discount Tire</t>
  </si>
  <si>
    <t>Kathy</t>
  </si>
  <si>
    <t>Peters</t>
  </si>
  <si>
    <t>00QF000000LnAOg</t>
  </si>
  <si>
    <t>American Eagle Outfitters</t>
  </si>
  <si>
    <t>Nikolich</t>
  </si>
  <si>
    <t>Store/HVAC Services</t>
  </si>
  <si>
    <t>00QF000000LnAOu</t>
  </si>
  <si>
    <t>Victor</t>
  </si>
  <si>
    <t>Salamone</t>
  </si>
  <si>
    <t>VP, Franchise Operations/ Development</t>
  </si>
  <si>
    <t>00QF000000LnAP8</t>
  </si>
  <si>
    <t>Mark</t>
  </si>
  <si>
    <t>Looper</t>
  </si>
  <si>
    <t>Director Construction</t>
  </si>
  <si>
    <t>00QF000000LnAPB</t>
  </si>
  <si>
    <t>Pappas Restaurants</t>
  </si>
  <si>
    <t>Renee</t>
  </si>
  <si>
    <t>Lacey</t>
  </si>
  <si>
    <t>Building Group Director</t>
  </si>
  <si>
    <t>00QF000000LnAPE</t>
  </si>
  <si>
    <t>Boston's Pizza</t>
  </si>
  <si>
    <t>Roy</t>
  </si>
  <si>
    <t>Lotz</t>
  </si>
  <si>
    <t>Director of Design &amp; Construction</t>
  </si>
  <si>
    <t>00QF000000LnAPG</t>
  </si>
  <si>
    <t>T-Mobile</t>
  </si>
  <si>
    <t>Chemp</t>
  </si>
  <si>
    <t>00QF000000LnF4z</t>
  </si>
  <si>
    <t>General Nutrition Centers (GNC)</t>
  </si>
  <si>
    <t>Daryl</t>
  </si>
  <si>
    <t>Green</t>
  </si>
  <si>
    <t>Franchise Development Manager</t>
  </si>
  <si>
    <t>00QF000000LnF5D</t>
  </si>
  <si>
    <t>McManamon</t>
  </si>
  <si>
    <t>Manager - Store Planning at Goodyear Tire &amp; Rubber</t>
  </si>
  <si>
    <t>00QF000000Lnexp</t>
  </si>
  <si>
    <t>Vera</t>
  </si>
  <si>
    <t>Cula</t>
  </si>
  <si>
    <t>Sr. Mgr. Administration - Construction at Ann Taylor</t>
  </si>
  <si>
    <t>00QF000000LnrYw</t>
  </si>
  <si>
    <t>Kirk</t>
  </si>
  <si>
    <t>Beaudoin</t>
  </si>
  <si>
    <t>Territory Facilities Manager, North America Retail Operations</t>
  </si>
  <si>
    <t>00QF000000LnxUm</t>
  </si>
  <si>
    <t>Ventre</t>
  </si>
  <si>
    <t>00QF000000LoBGK</t>
  </si>
  <si>
    <t>Keith</t>
  </si>
  <si>
    <t>Hillsberry</t>
  </si>
  <si>
    <t>VP Operations</t>
  </si>
  <si>
    <t>00QF000000LoBGb</t>
  </si>
  <si>
    <t>Song</t>
  </si>
  <si>
    <t>Shin</t>
  </si>
  <si>
    <t>Lighting Engineer</t>
  </si>
  <si>
    <t>00QF000000LoBGj</t>
  </si>
  <si>
    <t>Ernest</t>
  </si>
  <si>
    <t>Pekmezaris</t>
  </si>
  <si>
    <t>00QF000000LoBGk</t>
  </si>
  <si>
    <t>Bernazzoli</t>
  </si>
  <si>
    <t>Director, Facilities Services &amp; Energy Management</t>
  </si>
  <si>
    <t>00QF000000LoBHI</t>
  </si>
  <si>
    <t>Hartman</t>
  </si>
  <si>
    <t>Manager of Utilities</t>
  </si>
  <si>
    <t>00QF000000LoBHO</t>
  </si>
  <si>
    <t>Sandy</t>
  </si>
  <si>
    <t>Hanshaw</t>
  </si>
  <si>
    <t>Supervisor of Maintenance &amp; Repair</t>
  </si>
  <si>
    <t>00QF000000LoBHP</t>
  </si>
  <si>
    <t>Counsil</t>
  </si>
  <si>
    <t>00QF000000LoBHQ</t>
  </si>
  <si>
    <t>00QF000000LoBHk</t>
  </si>
  <si>
    <t>Leonard</t>
  </si>
  <si>
    <t>Lee</t>
  </si>
  <si>
    <t>Director Engineering/Facilities</t>
  </si>
  <si>
    <t>00QF000000LoBHt</t>
  </si>
  <si>
    <t>Kinney</t>
  </si>
  <si>
    <t>00QF000000LoBI7</t>
  </si>
  <si>
    <t>Scanlan</t>
  </si>
  <si>
    <t>Service Admin Equipment Purchasing</t>
  </si>
  <si>
    <t>00QF000000LoBI9</t>
  </si>
  <si>
    <t>Brauer</t>
  </si>
  <si>
    <t>Assistant VP Equipment</t>
  </si>
  <si>
    <t>00QF000000LoBIA</t>
  </si>
  <si>
    <t>Mitch</t>
  </si>
  <si>
    <t>Boucher</t>
  </si>
  <si>
    <t>Manager Energy Management</t>
  </si>
  <si>
    <t>00QF000000LoBIF</t>
  </si>
  <si>
    <t>Thome</t>
  </si>
  <si>
    <t>Equipment Services Manager</t>
  </si>
  <si>
    <t>00QF000000LoBIb</t>
  </si>
  <si>
    <t>Bass</t>
  </si>
  <si>
    <t>Director of Sales</t>
  </si>
  <si>
    <t>00QF000000LoBIc</t>
  </si>
  <si>
    <t>Meribeth</t>
  </si>
  <si>
    <t>Tooke</t>
  </si>
  <si>
    <t>National Accounts Executive</t>
  </si>
  <si>
    <t>00QF000000LoBId</t>
  </si>
  <si>
    <t>Aaron</t>
  </si>
  <si>
    <t>Eleazer</t>
  </si>
  <si>
    <t>00QF000000LoBIe</t>
  </si>
  <si>
    <t>Costa</t>
  </si>
  <si>
    <t>00QF000000LoBIf</t>
  </si>
  <si>
    <t>Jeremy</t>
  </si>
  <si>
    <t>00QF000000LoBIg</t>
  </si>
  <si>
    <t>Jody</t>
  </si>
  <si>
    <t>Robbins</t>
  </si>
  <si>
    <t>Construction Manager-Western Region</t>
  </si>
  <si>
    <t>00QF000000LoBIh</t>
  </si>
  <si>
    <t>Bechtold</t>
  </si>
  <si>
    <t>Manager of Business Analysis</t>
  </si>
  <si>
    <t>00QF000000LoBIi</t>
  </si>
  <si>
    <t>Keegan</t>
  </si>
  <si>
    <t>00QF000000LoBIl</t>
  </si>
  <si>
    <t>Industry Solutions Sales Manager - Industry/Manufacturing</t>
  </si>
  <si>
    <t>00QF000000LoBIm</t>
  </si>
  <si>
    <t>Rea</t>
  </si>
  <si>
    <t>Director, Procurement Services</t>
  </si>
  <si>
    <t>00QF000000LoBIq</t>
  </si>
  <si>
    <t>Kami</t>
  </si>
  <si>
    <t>Cusick</t>
  </si>
  <si>
    <t>Utilities Manager</t>
  </si>
  <si>
    <t>00QF000000LoBIr</t>
  </si>
  <si>
    <t>Half Price Books</t>
  </si>
  <si>
    <t>Helen</t>
  </si>
  <si>
    <t>Pacione</t>
  </si>
  <si>
    <t>Director, Facilities Development</t>
  </si>
  <si>
    <t>00QF000000LoBIx</t>
  </si>
  <si>
    <t>Jan</t>
  </si>
  <si>
    <t>Cornelius</t>
  </si>
  <si>
    <t>EVP, Operations</t>
  </si>
  <si>
    <t>00QF000000LoBIy</t>
  </si>
  <si>
    <t>Buser</t>
  </si>
  <si>
    <t>VP of Construction &amp; Facility Services</t>
  </si>
  <si>
    <t>00QF000000LoBJ1</t>
  </si>
  <si>
    <t>Project Manager-Construction</t>
  </si>
  <si>
    <t>00QF000000LoBJ2</t>
  </si>
  <si>
    <t>ACE Cash Express</t>
  </si>
  <si>
    <t>Brown</t>
  </si>
  <si>
    <t>00QF000000LoBJA</t>
  </si>
  <si>
    <t>Petrie</t>
  </si>
  <si>
    <t>00QF000000LoBJE</t>
  </si>
  <si>
    <t>Sally Beauty Supply</t>
  </si>
  <si>
    <t>Donnell</t>
  </si>
  <si>
    <t>Davis</t>
  </si>
  <si>
    <t>Maintenance contract and IT Assets</t>
  </si>
  <si>
    <t>00QF000000LoBJF</t>
  </si>
  <si>
    <t>Rose</t>
  </si>
  <si>
    <t>VP, Property Management</t>
  </si>
  <si>
    <t>00QF000000LoBJG</t>
  </si>
  <si>
    <t>Lucy</t>
  </si>
  <si>
    <t>Hernandez</t>
  </si>
  <si>
    <t>Director, Facilities Management</t>
  </si>
  <si>
    <t>00QF000000LoBJH</t>
  </si>
  <si>
    <t>Fisher Auto Parts</t>
  </si>
  <si>
    <t>Bo</t>
  </si>
  <si>
    <t>Fisher</t>
  </si>
  <si>
    <t>00QF000000LoBJK</t>
  </si>
  <si>
    <t>Petton</t>
  </si>
  <si>
    <t>Sr. Director of Facilites</t>
  </si>
  <si>
    <t>00QF000000LoBJM</t>
  </si>
  <si>
    <t>Masters</t>
  </si>
  <si>
    <t>00QF000000LoBJN</t>
  </si>
  <si>
    <t>National HVAC/Plumbing Manager</t>
  </si>
  <si>
    <t>00QF000000LoBJO</t>
  </si>
  <si>
    <t>Gerdes</t>
  </si>
  <si>
    <t>Director of Facility &amp; Energy Management</t>
  </si>
  <si>
    <t>00QF000000LoBJQ</t>
  </si>
  <si>
    <t>Ernst</t>
  </si>
  <si>
    <t>Strategic Sourcing Manager</t>
  </si>
  <si>
    <t>00QF000000LoBLk</t>
  </si>
  <si>
    <t>Feinberg</t>
  </si>
  <si>
    <t>Senior Director of Facilities</t>
  </si>
  <si>
    <t>00QF000000LoDLQ</t>
  </si>
  <si>
    <t>Giannone</t>
  </si>
  <si>
    <t>Director - Facilities</t>
  </si>
  <si>
    <t>00QF000000LoDLR</t>
  </si>
  <si>
    <t>Polo Ralph Lauren</t>
  </si>
  <si>
    <t>Benny</t>
  </si>
  <si>
    <t>Lin</t>
  </si>
  <si>
    <t>Vice President-Sustainability</t>
  </si>
  <si>
    <t>00QF000000LoDLS</t>
  </si>
  <si>
    <t>Joanne</t>
  </si>
  <si>
    <t>Foulke</t>
  </si>
  <si>
    <t>Senior Director Administrative and Support Services</t>
  </si>
  <si>
    <t>00QF000000LoDLT</t>
  </si>
  <si>
    <t>L. J</t>
  </si>
  <si>
    <t>Mohan</t>
  </si>
  <si>
    <t>Vice President, Facilities and Energy Engineering</t>
  </si>
  <si>
    <t>00QF000000LoDLU</t>
  </si>
  <si>
    <t>Alfred</t>
  </si>
  <si>
    <t>Mairle</t>
  </si>
  <si>
    <t>00QF000000LoDLV</t>
  </si>
  <si>
    <t>Rankin</t>
  </si>
  <si>
    <t>Director of Physical Facilities</t>
  </si>
  <si>
    <t>00QF000000LoDLX</t>
  </si>
  <si>
    <t>Marsh Supermarkets</t>
  </si>
  <si>
    <t>Douglas</t>
  </si>
  <si>
    <t>Dougherty</t>
  </si>
  <si>
    <t>Executive Vice President Finance</t>
  </si>
  <si>
    <t>00QF000000LoDLg</t>
  </si>
  <si>
    <t>Harlem Furniture</t>
  </si>
  <si>
    <t>Poggi</t>
  </si>
  <si>
    <t>Director of Construction &amp; Facilities</t>
  </si>
  <si>
    <t>00QF000000LoDLl</t>
  </si>
  <si>
    <t>Director, Real Estate &amp; Sustainability</t>
  </si>
  <si>
    <t>00QF000000LoDLp</t>
  </si>
  <si>
    <t>Kevin</t>
  </si>
  <si>
    <t>Browne</t>
  </si>
  <si>
    <t>Director of Distribution and Facilities</t>
  </si>
  <si>
    <t>00QF000000LoDLu</t>
  </si>
  <si>
    <t>Darrell</t>
  </si>
  <si>
    <t>Devoe</t>
  </si>
  <si>
    <t>Vice President, Corporate Facilities</t>
  </si>
  <si>
    <t>00QF000000LoDLv</t>
  </si>
  <si>
    <t>Christopher &amp; Banks</t>
  </si>
  <si>
    <t>Donna</t>
  </si>
  <si>
    <t>Fauchald</t>
  </si>
  <si>
    <t>Vice President of Real Estate, Construction, Maintenance and Facilities</t>
  </si>
  <si>
    <t>00QF000000LoDLx</t>
  </si>
  <si>
    <t>Factory Card &amp; Party Outlet</t>
  </si>
  <si>
    <t>Carrie</t>
  </si>
  <si>
    <t>00QF000000LoDLy</t>
  </si>
  <si>
    <t>ISO</t>
  </si>
  <si>
    <t>Cassella</t>
  </si>
  <si>
    <t>00QF000000LoDLz</t>
  </si>
  <si>
    <t>Lands' End</t>
  </si>
  <si>
    <t>Vice President of Engineering and Facilities Services</t>
  </si>
  <si>
    <t>00QF000000LoDM0</t>
  </si>
  <si>
    <t>Quiksilver</t>
  </si>
  <si>
    <t>Wilson</t>
  </si>
  <si>
    <t>Vice President, Sustainability Programs</t>
  </si>
  <si>
    <t>00QF000000LoDM1</t>
  </si>
  <si>
    <t>S&amp;K Famous Brands</t>
  </si>
  <si>
    <t>Adams</t>
  </si>
  <si>
    <t>00QF000000LoDM2</t>
  </si>
  <si>
    <t>Sterling Jewelers (Kay Jewelers, Jared)</t>
  </si>
  <si>
    <t>Dana</t>
  </si>
  <si>
    <t>Palmer</t>
  </si>
  <si>
    <t>00QF000000LoDM3</t>
  </si>
  <si>
    <t>The Marshall Retail Group</t>
  </si>
  <si>
    <t>Mastel</t>
  </si>
  <si>
    <t>Director, Construction/Facilities</t>
  </si>
  <si>
    <t>00QF000000LoDM4</t>
  </si>
  <si>
    <t>The Warnaco Group</t>
  </si>
  <si>
    <t>Seidensticker</t>
  </si>
  <si>
    <t>00QF000000LoDM5</t>
  </si>
  <si>
    <t>Things Remembered</t>
  </si>
  <si>
    <t>Mary Ann</t>
  </si>
  <si>
    <t>Semen</t>
  </si>
  <si>
    <t>00QF000000LoDM6</t>
  </si>
  <si>
    <t>Carter's</t>
  </si>
  <si>
    <t>00QF000000LoDMN</t>
  </si>
  <si>
    <t>Grenier</t>
  </si>
  <si>
    <t>Manager Facility/Maintenance</t>
  </si>
  <si>
    <t>00QF000000LoDMO</t>
  </si>
  <si>
    <t>Cole Haan</t>
  </si>
  <si>
    <t>Wilbur</t>
  </si>
  <si>
    <t>Director Facility/Maintenance</t>
  </si>
  <si>
    <t>00QF000000LoDMP</t>
  </si>
  <si>
    <t>Gabriel Brothers</t>
  </si>
  <si>
    <t>Kline</t>
  </si>
  <si>
    <t>00QF000000LoDMS</t>
  </si>
  <si>
    <t>Sharon</t>
  </si>
  <si>
    <t>Knox</t>
  </si>
  <si>
    <t>Manager Real Estate</t>
  </si>
  <si>
    <t>00QF000000LoDMT</t>
  </si>
  <si>
    <t>Hopkins</t>
  </si>
  <si>
    <t>VP Strategic Planning</t>
  </si>
  <si>
    <t>00QF000000LoDMV</t>
  </si>
  <si>
    <t>hhgregg</t>
  </si>
  <si>
    <t>Giesler</t>
  </si>
  <si>
    <t>Director of facilities</t>
  </si>
  <si>
    <t>00QF000000LoEA7</t>
  </si>
  <si>
    <t>Pumphrey</t>
  </si>
  <si>
    <t>Facility Program Manager</t>
  </si>
  <si>
    <t>00QF000000Loyjs</t>
  </si>
  <si>
    <t>Geno</t>
  </si>
  <si>
    <t>DiSarcina</t>
  </si>
  <si>
    <t>Director of Facilties</t>
  </si>
  <si>
    <t>00QF000000Loyjt</t>
  </si>
  <si>
    <t>Spellings</t>
  </si>
  <si>
    <t>Partner</t>
  </si>
  <si>
    <t>00QF000000Loyl7</t>
  </si>
  <si>
    <t>Israel</t>
  </si>
  <si>
    <t>Associate</t>
  </si>
  <si>
    <t>00QF000000Loyl8</t>
  </si>
  <si>
    <t>Blockbuster</t>
  </si>
  <si>
    <t>Grindell</t>
  </si>
  <si>
    <t>00QF000000LoylG</t>
  </si>
  <si>
    <t>David's Bridal</t>
  </si>
  <si>
    <t>Bryant</t>
  </si>
  <si>
    <t>Lubbs</t>
  </si>
  <si>
    <t>00QF000000LoylH</t>
  </si>
  <si>
    <t>Johan</t>
  </si>
  <si>
    <t>Ahlqvist</t>
  </si>
  <si>
    <t>00QF000000LoylI</t>
  </si>
  <si>
    <t>Sherwin-Williams</t>
  </si>
  <si>
    <t>Draper</t>
  </si>
  <si>
    <t>Director of Credit</t>
  </si>
  <si>
    <t>00QF000000LoylJ</t>
  </si>
  <si>
    <t>Hurd</t>
  </si>
  <si>
    <t>Major Account Manager - State of California</t>
  </si>
  <si>
    <t>00QF000000LoylK</t>
  </si>
  <si>
    <t>McCloskey</t>
  </si>
  <si>
    <t>Innovation Manager-Emerging Products Group</t>
  </si>
  <si>
    <t>00QF000000LoylL</t>
  </si>
  <si>
    <t>Moonier</t>
  </si>
  <si>
    <t>Manager-Innovation and New Business Development</t>
  </si>
  <si>
    <t>00QF000000LoylM</t>
  </si>
  <si>
    <t>Quirk</t>
  </si>
  <si>
    <t>Manager-Innovation and Business Development</t>
  </si>
  <si>
    <t>00QF000000LoylN</t>
  </si>
  <si>
    <t>Eugene</t>
  </si>
  <si>
    <t>Musselman</t>
  </si>
  <si>
    <t>VP INDUSTRY SOLUTIONS</t>
  </si>
  <si>
    <t>00QF000000LoylO</t>
  </si>
  <si>
    <t>Faresich</t>
  </si>
  <si>
    <t>GB IND SLS/LOC &amp; EBD DATA</t>
  </si>
  <si>
    <t>00QF000000LoylP</t>
  </si>
  <si>
    <t>Collingwood</t>
  </si>
  <si>
    <t>00QF000000LoylQ</t>
  </si>
  <si>
    <t>Steve &amp; Barry's</t>
  </si>
  <si>
    <t>00QF000000LoylR</t>
  </si>
  <si>
    <t>Bruegger's Enterprises</t>
  </si>
  <si>
    <t>Matt Creager</t>
  </si>
  <si>
    <t>Wadhams</t>
  </si>
  <si>
    <t>00QA0000006wRwq</t>
  </si>
  <si>
    <t>Papa Gino's</t>
  </si>
  <si>
    <t>Ancello</t>
  </si>
  <si>
    <t>00QA0000006wRxW</t>
  </si>
  <si>
    <t>Merrill</t>
  </si>
  <si>
    <t>00QA0000006wRxX</t>
  </si>
  <si>
    <t>Price Chopper</t>
  </si>
  <si>
    <t>Sweet</t>
  </si>
  <si>
    <t>VP of Engineering and Construction</t>
  </si>
  <si>
    <t>00QA0000007XqGJ</t>
  </si>
  <si>
    <t>Sheetz</t>
  </si>
  <si>
    <t>Knisely</t>
  </si>
  <si>
    <t>Manager of Petroleum and Building Construction</t>
  </si>
  <si>
    <t>00QA0000007XqGK</t>
  </si>
  <si>
    <t>Delhaize America (Hannaford Brothers)</t>
  </si>
  <si>
    <t>Gillis</t>
  </si>
  <si>
    <t>Corp. Develop Cost Engineering &amp; Process Manager</t>
  </si>
  <si>
    <t>00QA0000007XqGM</t>
  </si>
  <si>
    <t>Thorntons</t>
  </si>
  <si>
    <t>Zgonina</t>
  </si>
  <si>
    <t>00QA0000008uL3F</t>
  </si>
  <si>
    <t>BP America (Amoco)</t>
  </si>
  <si>
    <t>Talecki</t>
  </si>
  <si>
    <t>Energy Director</t>
  </si>
  <si>
    <t>00QA000000D9EZZ</t>
  </si>
  <si>
    <t>QuikTrip</t>
  </si>
  <si>
    <t>Terry L.</t>
  </si>
  <si>
    <t>00QA000000D9EaQ</t>
  </si>
  <si>
    <t>Lyndon L.</t>
  </si>
  <si>
    <t>Becker</t>
  </si>
  <si>
    <t>Utility Mgr</t>
  </si>
  <si>
    <t>00QA000000D9EaR</t>
  </si>
  <si>
    <t>Raia</t>
  </si>
  <si>
    <t>00QA000000D9EaV</t>
  </si>
  <si>
    <t>RaceTrac Petroleum</t>
  </si>
  <si>
    <t>Court</t>
  </si>
  <si>
    <t>Wolbe</t>
  </si>
  <si>
    <t>Vice President of Construction and Store Support</t>
  </si>
  <si>
    <t>00QA000000GpANd</t>
  </si>
  <si>
    <t>Jake</t>
  </si>
  <si>
    <t>Pauley</t>
  </si>
  <si>
    <t>Director of Purchasing</t>
  </si>
  <si>
    <t>00QA000000GpANh</t>
  </si>
  <si>
    <t>Wakefern Food Corp.</t>
  </si>
  <si>
    <t>Mary</t>
  </si>
  <si>
    <t>Upham</t>
  </si>
  <si>
    <t>Manager Design &amp; Development</t>
  </si>
  <si>
    <t>00QA000000GpANw</t>
  </si>
  <si>
    <t>Weis Markets</t>
  </si>
  <si>
    <t>Small</t>
  </si>
  <si>
    <t>Vice President Construction and Development</t>
  </si>
  <si>
    <t>00QA000000GpANx</t>
  </si>
  <si>
    <t>Eat 'n Park</t>
  </si>
  <si>
    <t>Dunmire</t>
  </si>
  <si>
    <t>Vice President Design &amp; Construction</t>
  </si>
  <si>
    <t>00QA000000IifPt</t>
  </si>
  <si>
    <t>Five Guys</t>
  </si>
  <si>
    <t>Elstro</t>
  </si>
  <si>
    <t>Director of Construction, FGO/FGE at Five Guys</t>
  </si>
  <si>
    <t>00QF000000Lmi2T</t>
  </si>
  <si>
    <t>Demoulas Super Markets Inc.</t>
  </si>
  <si>
    <t>Normand</t>
  </si>
  <si>
    <t>Martin</t>
  </si>
  <si>
    <t>00QF000000Ln5u6</t>
  </si>
  <si>
    <t>Big Y Foods</t>
  </si>
  <si>
    <t>Kuchyt</t>
  </si>
  <si>
    <t>00QF000000Ln5u7</t>
  </si>
  <si>
    <t>TravelCenters of America</t>
  </si>
  <si>
    <t>00QF000000LnAG8</t>
  </si>
  <si>
    <t>Chevron</t>
  </si>
  <si>
    <t>Squellati</t>
  </si>
  <si>
    <t>Facilities, Operations, Construction Mngt</t>
  </si>
  <si>
    <t>00QF000000LnAGZ</t>
  </si>
  <si>
    <t>Exxon Mobil</t>
  </si>
  <si>
    <t>Robinson</t>
  </si>
  <si>
    <t>HSE Coordinator, Construction</t>
  </si>
  <si>
    <t>00QF000000LnAGh</t>
  </si>
  <si>
    <t>VPS Convenience Store Group</t>
  </si>
  <si>
    <t>Kay</t>
  </si>
  <si>
    <t>Payne</t>
  </si>
  <si>
    <t>Maintenance Coordinator</t>
  </si>
  <si>
    <t>00QF000000LnAGn</t>
  </si>
  <si>
    <t>Delek Holdings (MAPCO)</t>
  </si>
  <si>
    <t>Parton</t>
  </si>
  <si>
    <t>Senior Manager, Maintenance</t>
  </si>
  <si>
    <t>00QF000000LnAGq</t>
  </si>
  <si>
    <t>Marathon Oil (Speedway SuperAmerica)</t>
  </si>
  <si>
    <t>Oliver</t>
  </si>
  <si>
    <t>00QF000000LnAGr</t>
  </si>
  <si>
    <t>Alimentation Couche-Tard (Circle K)</t>
  </si>
  <si>
    <t>O`Sullivan</t>
  </si>
  <si>
    <t>00QF000000LnAGt</t>
  </si>
  <si>
    <t>United Dairy Farmers</t>
  </si>
  <si>
    <t>Darryl</t>
  </si>
  <si>
    <t>Neltner</t>
  </si>
  <si>
    <t>00QF000000LnAGu</t>
  </si>
  <si>
    <t>Maverik Country Stores</t>
  </si>
  <si>
    <t>Murry</t>
  </si>
  <si>
    <t>Director of Store Development</t>
  </si>
  <si>
    <t>00QF000000LnAGv</t>
  </si>
  <si>
    <t>Tedeschi Food Shops</t>
  </si>
  <si>
    <t>McGann</t>
  </si>
  <si>
    <t>Vice President Store Development</t>
  </si>
  <si>
    <t>00QF000000LnAGz</t>
  </si>
  <si>
    <t>Carey Johnson Oil (EZ Go Food Store)</t>
  </si>
  <si>
    <t>Twyla</t>
  </si>
  <si>
    <t>00QF000000LnAH0</t>
  </si>
  <si>
    <t>Royal Farms</t>
  </si>
  <si>
    <t>District Manager</t>
  </si>
  <si>
    <t>00QF000000LnAH3</t>
  </si>
  <si>
    <t>Southwest Convenience Stores (Alon USA)</t>
  </si>
  <si>
    <t>Ketchum</t>
  </si>
  <si>
    <t>Vice President Operations</t>
  </si>
  <si>
    <t>00QF000000LnAH8</t>
  </si>
  <si>
    <t>Kwik Stop</t>
  </si>
  <si>
    <t>Kahok</t>
  </si>
  <si>
    <t>00QF000000LnAHA</t>
  </si>
  <si>
    <t>Hess</t>
  </si>
  <si>
    <t>George</t>
  </si>
  <si>
    <t>Houk</t>
  </si>
  <si>
    <t>Director of Pre-Construction Services</t>
  </si>
  <si>
    <t>00QF000000LnAHH</t>
  </si>
  <si>
    <t>Valero</t>
  </si>
  <si>
    <t>Russell</t>
  </si>
  <si>
    <t>Hill</t>
  </si>
  <si>
    <t>Senior Environmental Engineer</t>
  </si>
  <si>
    <t>00QF000000LnAHI</t>
  </si>
  <si>
    <t>Jacksons Food Stores</t>
  </si>
  <si>
    <t>Helfer</t>
  </si>
  <si>
    <t>00QF000000LnAHM</t>
  </si>
  <si>
    <t>Go-Mart</t>
  </si>
  <si>
    <t>Heater</t>
  </si>
  <si>
    <t>00QF000000LnAHN</t>
  </si>
  <si>
    <t>CEFCO Convenience Stores</t>
  </si>
  <si>
    <t>Brett</t>
  </si>
  <si>
    <t>Giesick</t>
  </si>
  <si>
    <t>Chief Retail Officer</t>
  </si>
  <si>
    <t>00QF000000LnAHS</t>
  </si>
  <si>
    <t>Stewart's Shops</t>
  </si>
  <si>
    <t>Gatti</t>
  </si>
  <si>
    <t>00QF000000LnAHU</t>
  </si>
  <si>
    <t>Casey's General Stores</t>
  </si>
  <si>
    <t>00QF000000LnAHX</t>
  </si>
  <si>
    <t>Holiday Companies</t>
  </si>
  <si>
    <t>Fliss</t>
  </si>
  <si>
    <t>00QF000000LnAHY</t>
  </si>
  <si>
    <t>Duncan</t>
  </si>
  <si>
    <t>Manager Logistics Systems West</t>
  </si>
  <si>
    <t>00QF000000LnAHd</t>
  </si>
  <si>
    <t>Deel</t>
  </si>
  <si>
    <t>Director, Facilities Services</t>
  </si>
  <si>
    <t>00QF000000LnAHe</t>
  </si>
  <si>
    <t>Tesoro Petroleum</t>
  </si>
  <si>
    <t>Jennifer</t>
  </si>
  <si>
    <t>Cox</t>
  </si>
  <si>
    <t>Project Manager, Facilities Operations</t>
  </si>
  <si>
    <t>00QF000000LnAHj</t>
  </si>
  <si>
    <t>Quick Check</t>
  </si>
  <si>
    <t>Marty</t>
  </si>
  <si>
    <t>Connolly</t>
  </si>
  <si>
    <t>00QF000000LnAHl</t>
  </si>
  <si>
    <t>Swiss Farms</t>
  </si>
  <si>
    <t>Coldwell</t>
  </si>
  <si>
    <t>Director, Franchising</t>
  </si>
  <si>
    <t>00QF000000LnAHm</t>
  </si>
  <si>
    <t>Murphy Oil USA</t>
  </si>
  <si>
    <t>Clif</t>
  </si>
  <si>
    <t>Coker</t>
  </si>
  <si>
    <t>Manager, Maintenance Murphy USA</t>
  </si>
  <si>
    <t>00QF000000LnAHn</t>
  </si>
  <si>
    <t>Allsup's Convenience Stores</t>
  </si>
  <si>
    <t>RoGene</t>
  </si>
  <si>
    <t>Chaddick</t>
  </si>
  <si>
    <t>00QF000000LnAHp</t>
  </si>
  <si>
    <t>MFA Oil Company - Break Time</t>
  </si>
  <si>
    <t>Caspell</t>
  </si>
  <si>
    <t>Consultant Acquisitions, Development</t>
  </si>
  <si>
    <t>00QF000000LnAHr</t>
  </si>
  <si>
    <t>Ed</t>
  </si>
  <si>
    <t>Carver</t>
  </si>
  <si>
    <t>Director, Facilities and Construction</t>
  </si>
  <si>
    <t>00QF000000LnAHs</t>
  </si>
  <si>
    <t>Western Refining</t>
  </si>
  <si>
    <t>Director, Retail Properties and Facilities Management</t>
  </si>
  <si>
    <t>00QF000000LnAHx</t>
  </si>
  <si>
    <t>Cumberland Farms</t>
  </si>
  <si>
    <t>Liz</t>
  </si>
  <si>
    <t>Burt</t>
  </si>
  <si>
    <t>Exec. Assistant for Facilities</t>
  </si>
  <si>
    <t>00QF000000LnAHy</t>
  </si>
  <si>
    <t>Wilcohess</t>
  </si>
  <si>
    <t>[not provided]</t>
  </si>
  <si>
    <t>00QF000000LnAIF</t>
  </si>
  <si>
    <t>McCure</t>
  </si>
  <si>
    <t>VP, Operations SE Region</t>
  </si>
  <si>
    <t>00QF000000LnAIH</t>
  </si>
  <si>
    <t>Kwik Trip</t>
  </si>
  <si>
    <t>00QF000000LnAII</t>
  </si>
  <si>
    <t>Kum &amp; Go</t>
  </si>
  <si>
    <t>00QF000000LnAIJ</t>
  </si>
  <si>
    <t>United Refining</t>
  </si>
  <si>
    <t>00QF000000LnAIK</t>
  </si>
  <si>
    <t>Last Name TBD</t>
  </si>
  <si>
    <t>00QF000000LnAIL</t>
  </si>
  <si>
    <t>00QF000000LnAIM</t>
  </si>
  <si>
    <t>Shaw's</t>
  </si>
  <si>
    <t>Giannouloudis</t>
  </si>
  <si>
    <t>00QF000000LnAJa</t>
  </si>
  <si>
    <t>Balducci's</t>
  </si>
  <si>
    <t>Fiery</t>
  </si>
  <si>
    <t>Director, Retail Sales &amp; Support</t>
  </si>
  <si>
    <t>00QF000000LnALa</t>
  </si>
  <si>
    <t>ShopRite</t>
  </si>
  <si>
    <t>00QF000000LnALe</t>
  </si>
  <si>
    <t>Village Super Market</t>
  </si>
  <si>
    <t>00QF000000LnALf</t>
  </si>
  <si>
    <t>Genuardi's</t>
  </si>
  <si>
    <t>00QF000000LnALh</t>
  </si>
  <si>
    <t>Farm Fresh</t>
  </si>
  <si>
    <t>Yeager</t>
  </si>
  <si>
    <t>00QF000000LnALj</t>
  </si>
  <si>
    <t>Gannon</t>
  </si>
  <si>
    <t>Director of Process Improvement</t>
  </si>
  <si>
    <t>00QF000000LnALk</t>
  </si>
  <si>
    <t>K-VA-T (Food City)</t>
  </si>
  <si>
    <t>VP Store Planning and Development</t>
  </si>
  <si>
    <t>00QF000000LnALq</t>
  </si>
  <si>
    <t>Golub (Price Chopper)</t>
  </si>
  <si>
    <t>00QF000000LnALv</t>
  </si>
  <si>
    <t>King Kullen Grocery</t>
  </si>
  <si>
    <t>Stanley</t>
  </si>
  <si>
    <t>VP Construction, Facility/Maintenance</t>
  </si>
  <si>
    <t>00QF000000LnAMT</t>
  </si>
  <si>
    <t>Toomey</t>
  </si>
  <si>
    <t>VP of Franchise Operations</t>
  </si>
  <si>
    <t>00QF000000LnAN3</t>
  </si>
  <si>
    <t>Jesse</t>
  </si>
  <si>
    <t>Stock</t>
  </si>
  <si>
    <t>00QF000000LnAOa</t>
  </si>
  <si>
    <t>Denny's</t>
  </si>
  <si>
    <t>Joesph</t>
  </si>
  <si>
    <t>Giovdiano</t>
  </si>
  <si>
    <t>00QF000000LnHIB</t>
  </si>
  <si>
    <t>Ashburn</t>
  </si>
  <si>
    <t>00QF000000LoBFF</t>
  </si>
  <si>
    <t>Lonnie</t>
  </si>
  <si>
    <t>Allsup</t>
  </si>
  <si>
    <t>00QF000000LoBFG</t>
  </si>
  <si>
    <t>Procurement, Convenience Store Channel</t>
  </si>
  <si>
    <t>00QF000000LoBFH</t>
  </si>
  <si>
    <t>Potter</t>
  </si>
  <si>
    <t>00QF000000LoBFI</t>
  </si>
  <si>
    <t>Lei</t>
  </si>
  <si>
    <t>Project Engineer</t>
  </si>
  <si>
    <t>00QF000000LoBFJ</t>
  </si>
  <si>
    <t>Kozelka</t>
  </si>
  <si>
    <t>00QF000000LoBFK</t>
  </si>
  <si>
    <t>Osama</t>
  </si>
  <si>
    <t>Idrees</t>
  </si>
  <si>
    <t>00QF000000LoBFL</t>
  </si>
  <si>
    <t>Golove</t>
  </si>
  <si>
    <t>Energy Tech. Division Lead</t>
  </si>
  <si>
    <t>00QF000000LoBFM</t>
  </si>
  <si>
    <t>Bruce</t>
  </si>
  <si>
    <t>Dickinson</t>
  </si>
  <si>
    <t>Director of Business Development</t>
  </si>
  <si>
    <t>00QF000000LoBFN</t>
  </si>
  <si>
    <t>Brockenborough</t>
  </si>
  <si>
    <t>Director of Operations, Western Region</t>
  </si>
  <si>
    <t>00QF000000LoBFO</t>
  </si>
  <si>
    <t>Cary</t>
  </si>
  <si>
    <t>Fukada</t>
  </si>
  <si>
    <t>Regional Energy Accounts Manager</t>
  </si>
  <si>
    <t>00QF000000LoBFP</t>
  </si>
  <si>
    <t>00QF000000LoBFQ</t>
  </si>
  <si>
    <t>Luis</t>
  </si>
  <si>
    <t>Molina</t>
  </si>
  <si>
    <t>Retail Maintenance Analyst</t>
  </si>
  <si>
    <t>00QF000000LoBFR</t>
  </si>
  <si>
    <t>Brzezicki</t>
  </si>
  <si>
    <t>Director, Retail Stores</t>
  </si>
  <si>
    <t>00QF000000LoBFS</t>
  </si>
  <si>
    <t>Townsend</t>
  </si>
  <si>
    <t>00QF000000LoBFT</t>
  </si>
  <si>
    <t>Harry</t>
  </si>
  <si>
    <t>Brannon</t>
  </si>
  <si>
    <t>Facilities Maintenance Manager</t>
  </si>
  <si>
    <t>00QF000000LoBFU</t>
  </si>
  <si>
    <t>Smart</t>
  </si>
  <si>
    <t>00QF000000LoBFV</t>
  </si>
  <si>
    <t>Hammes</t>
  </si>
  <si>
    <t>Sustainability Manager</t>
  </si>
  <si>
    <t>00QF000000LoBFW</t>
  </si>
  <si>
    <t>Tommy</t>
  </si>
  <si>
    <t>Seabolt</t>
  </si>
  <si>
    <t>Manager, Help Desk</t>
  </si>
  <si>
    <t>00QF000000LoBFX</t>
  </si>
  <si>
    <t>Kers</t>
  </si>
  <si>
    <t>Manager, Engineering and Construction</t>
  </si>
  <si>
    <t>00QF000000LoBFY</t>
  </si>
  <si>
    <t>Hammock</t>
  </si>
  <si>
    <t>Director Energy Management</t>
  </si>
  <si>
    <t>00QF000000LoBFZ</t>
  </si>
  <si>
    <t>Shoanna</t>
  </si>
  <si>
    <t>Woodham</t>
  </si>
  <si>
    <t>Sr, Engineering Project Manager, LEED AP</t>
  </si>
  <si>
    <t>00QF000000LoBFa</t>
  </si>
  <si>
    <t>Maxwell</t>
  </si>
  <si>
    <t>00QF000000LoBFb</t>
  </si>
  <si>
    <t>Cindy</t>
  </si>
  <si>
    <t>Deken</t>
  </si>
  <si>
    <t>Director of Construction &amp; Facilities at Royal Farms</t>
  </si>
  <si>
    <t>00QF000000LoBFc</t>
  </si>
  <si>
    <t>Ardoin</t>
  </si>
  <si>
    <t>Facilities Maintenance</t>
  </si>
  <si>
    <t>00QF000000LoBFe</t>
  </si>
  <si>
    <t>Sprall</t>
  </si>
  <si>
    <t>Facilities and Fuel Director</t>
  </si>
  <si>
    <t>00QF000000LoBFf</t>
  </si>
  <si>
    <t>Yossi</t>
  </si>
  <si>
    <t>Lipman</t>
  </si>
  <si>
    <t>President &amp; CEO, Southwest C Stores</t>
  </si>
  <si>
    <t>00QF000000LoBFg</t>
  </si>
  <si>
    <t>Fluder</t>
  </si>
  <si>
    <t>Director Corporate Maintenance and Reliability</t>
  </si>
  <si>
    <t>00QF000000LoBFh</t>
  </si>
  <si>
    <t>Jilliam</t>
  </si>
  <si>
    <t>Sloan</t>
  </si>
  <si>
    <t>Senior Procurement Analyst</t>
  </si>
  <si>
    <t>00QF000000LoBFi</t>
  </si>
  <si>
    <t>Ortiz</t>
  </si>
  <si>
    <t>Senior Region Retail Engineer</t>
  </si>
  <si>
    <t>00QF000000LoBFj</t>
  </si>
  <si>
    <t>Hughes</t>
  </si>
  <si>
    <t>00QF000000LoBFk</t>
  </si>
  <si>
    <t>Barbara</t>
  </si>
  <si>
    <t>Kunkel</t>
  </si>
  <si>
    <t>00QF000000LoBFl</t>
  </si>
  <si>
    <t>Darren</t>
  </si>
  <si>
    <t>McElroy</t>
  </si>
  <si>
    <t>Facilities Maintenance, Corporate</t>
  </si>
  <si>
    <t>00QF000000LoBFm</t>
  </si>
  <si>
    <t>Mayhew</t>
  </si>
  <si>
    <t>Vice President of Maintenance and Reliability</t>
  </si>
  <si>
    <t>00QF000000LoBFn</t>
  </si>
  <si>
    <t>Cooney</t>
  </si>
  <si>
    <t>00QF000000LoBFo</t>
  </si>
  <si>
    <t>Felix</t>
  </si>
  <si>
    <t>Boney</t>
  </si>
  <si>
    <t>00QF000000LoBFp</t>
  </si>
  <si>
    <t>Minyard</t>
  </si>
  <si>
    <t>Manager, Strategic Sourcing</t>
  </si>
  <si>
    <t>00QF000000LoBFq</t>
  </si>
  <si>
    <t>Rodney</t>
  </si>
  <si>
    <t>Watts</t>
  </si>
  <si>
    <t>Director, Retail Maintenance</t>
  </si>
  <si>
    <t>00QF000000LoBFr</t>
  </si>
  <si>
    <t>Jack</t>
  </si>
  <si>
    <t>Durland</t>
  </si>
  <si>
    <t>Director, Power Contracts and Strategy</t>
  </si>
  <si>
    <t>00QF000000LoBFs</t>
  </si>
  <si>
    <t>00QF000000LoBFt</t>
  </si>
  <si>
    <t>Arnold</t>
  </si>
  <si>
    <t>00QF000000LoBFu</t>
  </si>
  <si>
    <t>Mr</t>
  </si>
  <si>
    <t>00QF000000LoBFv</t>
  </si>
  <si>
    <t>00QF000000LoBFw</t>
  </si>
  <si>
    <t>Donald</t>
  </si>
  <si>
    <t>Riley</t>
  </si>
  <si>
    <t>00QF000000LoBFx</t>
  </si>
  <si>
    <t>Facilities Manintenance</t>
  </si>
  <si>
    <t>00QF000000LoBFy</t>
  </si>
  <si>
    <t>Jackie</t>
  </si>
  <si>
    <t>Director, Break Time Operations</t>
  </si>
  <si>
    <t>00QF000000LoBFz</t>
  </si>
  <si>
    <t>Friedrich</t>
  </si>
  <si>
    <t>00QF000000LoBG0</t>
  </si>
  <si>
    <t>Director, Supply Chain Planning &amp; Logistics</t>
  </si>
  <si>
    <t>00QF000000LoBGZ</t>
  </si>
  <si>
    <t>VP, Store Operations and Facility Services</t>
  </si>
  <si>
    <t>00QF000000LoBH9</t>
  </si>
  <si>
    <t>Rosener</t>
  </si>
  <si>
    <t>Director of Energy</t>
  </si>
  <si>
    <t>00QF000000LoBHw</t>
  </si>
  <si>
    <t>Will</t>
  </si>
  <si>
    <t>00QF000000LoBHx</t>
  </si>
  <si>
    <t>Fran</t>
  </si>
  <si>
    <t>Sheflin</t>
  </si>
  <si>
    <t>00QF000000LoBHy</t>
  </si>
  <si>
    <t>Eric</t>
  </si>
  <si>
    <t>Hemmalin</t>
  </si>
  <si>
    <t>Purchasing</t>
  </si>
  <si>
    <t>00QF000000LoBHz</t>
  </si>
  <si>
    <t>Deam</t>
  </si>
  <si>
    <t>00QF000000LoBID</t>
  </si>
  <si>
    <t>Child</t>
  </si>
  <si>
    <t>00QF000000LoBIE</t>
  </si>
  <si>
    <t>Henry</t>
  </si>
  <si>
    <t>Stone</t>
  </si>
  <si>
    <t>Director, Store Maintenance</t>
  </si>
  <si>
    <t>00QF000000LoBIT</t>
  </si>
  <si>
    <t>7-Eleven</t>
  </si>
  <si>
    <t>Hineman</t>
  </si>
  <si>
    <t>Manager</t>
  </si>
  <si>
    <t>00QF000000LoBKQ</t>
  </si>
  <si>
    <t>Belt</t>
  </si>
  <si>
    <t>Utilities Analyst</t>
  </si>
  <si>
    <t>00QF000000LoBKR</t>
  </si>
  <si>
    <t>Fritts</t>
  </si>
  <si>
    <t>Sr National Account Manager</t>
  </si>
  <si>
    <t>00QF000000LoBKe</t>
  </si>
  <si>
    <t>Deese</t>
  </si>
  <si>
    <t>Director, National Accounts &amp; Government Sales</t>
  </si>
  <si>
    <t>00QF000000LoBKf</t>
  </si>
  <si>
    <t>Stop &amp; Shop</t>
  </si>
  <si>
    <t>Manager, Energy Budgeting, Procurement &amp; Conservation</t>
  </si>
  <si>
    <t>00QF000000LoBKy</t>
  </si>
  <si>
    <t>Morgan</t>
  </si>
  <si>
    <t>Manager, Engineering</t>
  </si>
  <si>
    <t>00QF000000LoBLL</t>
  </si>
  <si>
    <t>Gilligan</t>
  </si>
  <si>
    <t>Manager, Energy</t>
  </si>
  <si>
    <t>00QF000000LoBLM</t>
  </si>
  <si>
    <t>Director, Energy &amp; Engineering</t>
  </si>
  <si>
    <t>00QF000000LoBLN</t>
  </si>
  <si>
    <t>Legal Seafoods</t>
  </si>
  <si>
    <t>Laurette</t>
  </si>
  <si>
    <t>Direrctor of Operations</t>
  </si>
  <si>
    <t>00QF000000LoCyL</t>
  </si>
  <si>
    <t>Giordano</t>
  </si>
  <si>
    <t>00QF000000LoDKn</t>
  </si>
  <si>
    <t>Ark Restaurants</t>
  </si>
  <si>
    <t>00QF000000LoDL3</t>
  </si>
  <si>
    <t>Back Bay Restaurant Group</t>
  </si>
  <si>
    <t>Director Facilities</t>
  </si>
  <si>
    <t>00QF000000LoDL5</t>
  </si>
  <si>
    <t>C&amp;S Wholesale Grocers</t>
  </si>
  <si>
    <t>Ted</t>
  </si>
  <si>
    <t>Speas</t>
  </si>
  <si>
    <t>Senior Vice President, Facilities and Automation</t>
  </si>
  <si>
    <t>00QF000000LoDLe</t>
  </si>
  <si>
    <t>United Natural Foods</t>
  </si>
  <si>
    <t>Dziki</t>
  </si>
  <si>
    <t>Senior Vice President, Chief Human Resource and Sustainability Officer</t>
  </si>
  <si>
    <t>00QF000000LoDLi</t>
  </si>
  <si>
    <t>McDaniel</t>
  </si>
  <si>
    <t>Director of Facilities at QuikTrip</t>
  </si>
  <si>
    <t>00QF000000LoDLm</t>
  </si>
  <si>
    <t>The SPINX Company</t>
  </si>
  <si>
    <t>Minton</t>
  </si>
  <si>
    <t>Vice President of Construction &amp; Facilities</t>
  </si>
  <si>
    <t>00QF000000LoDLn</t>
  </si>
  <si>
    <t>Vice President of Facilities for Price Chopper Supermarkets</t>
  </si>
  <si>
    <t>00QF000000LoDMB</t>
  </si>
  <si>
    <t>Anthony</t>
  </si>
  <si>
    <t>Coppola</t>
  </si>
  <si>
    <t>00QF000000LoDME</t>
  </si>
  <si>
    <t>Sprouse</t>
  </si>
  <si>
    <t>VP Retail Operations</t>
  </si>
  <si>
    <t>00QF000000LoDMU</t>
  </si>
  <si>
    <t>Cary Oil</t>
  </si>
  <si>
    <t>Maddox</t>
  </si>
  <si>
    <t>VP, Branded Marketing</t>
  </si>
  <si>
    <t>External Referral</t>
  </si>
  <si>
    <t>00QF000000LoExf</t>
  </si>
  <si>
    <t>Skidmore</t>
  </si>
  <si>
    <t>00QF000000LoHAj</t>
  </si>
  <si>
    <t>Christy</t>
  </si>
  <si>
    <t>Receptionist</t>
  </si>
  <si>
    <t>00QF000000LoHDW</t>
  </si>
  <si>
    <t>Alliance Energy</t>
  </si>
  <si>
    <t>Jaime</t>
  </si>
  <si>
    <t>Cook</t>
  </si>
  <si>
    <t>00QF000000Loy7E</t>
  </si>
  <si>
    <t>Erik</t>
  </si>
  <si>
    <t>Director, Store Engineering</t>
  </si>
  <si>
    <t>00QF000000Loyk2</t>
  </si>
  <si>
    <t>Vind</t>
  </si>
  <si>
    <t>Corporate Facilities Manager</t>
  </si>
  <si>
    <t>00QF000000Loyk3</t>
  </si>
  <si>
    <t>Susser Holdings (Stripes)</t>
  </si>
  <si>
    <t>Facilities Management</t>
  </si>
  <si>
    <t>00QF000000Loyk4</t>
  </si>
  <si>
    <t>Darville</t>
  </si>
  <si>
    <t>Vice President, Facilities Management</t>
  </si>
  <si>
    <t>00QF000000Loyk5</t>
  </si>
  <si>
    <t>Ben</t>
  </si>
  <si>
    <t>Director, Maintenance (ARMY)</t>
  </si>
  <si>
    <t>00QF000000Loyk6</t>
  </si>
  <si>
    <t>Passmore</t>
  </si>
  <si>
    <t>Director, Construction and Maintenance</t>
  </si>
  <si>
    <t>00QF000000Loyk7</t>
  </si>
  <si>
    <t>Tims</t>
  </si>
  <si>
    <t>Director, Car Care</t>
  </si>
  <si>
    <t>00QF000000Loyk8</t>
  </si>
  <si>
    <t>Chote</t>
  </si>
  <si>
    <t>Director of Maintenance &amp; construction</t>
  </si>
  <si>
    <t>00QF000000Loyk9</t>
  </si>
  <si>
    <t>Boswell</t>
  </si>
  <si>
    <t>00QF000000LoykA</t>
  </si>
  <si>
    <t>Coffman</t>
  </si>
  <si>
    <t>Facilities Supervisor, Oklahoma</t>
  </si>
  <si>
    <t>00QF000000LoykB</t>
  </si>
  <si>
    <t>Lindquist</t>
  </si>
  <si>
    <t>00QF000000LoykC</t>
  </si>
  <si>
    <t>Haas</t>
  </si>
  <si>
    <t>00QF000000LoykD</t>
  </si>
  <si>
    <t>Carlos</t>
  </si>
  <si>
    <t>Castillo</t>
  </si>
  <si>
    <t>Manager Construction</t>
  </si>
  <si>
    <t>00QF000000LoykE</t>
  </si>
  <si>
    <t>Crew</t>
  </si>
  <si>
    <t>Commercial Services</t>
  </si>
  <si>
    <t>00QF000000LoykF</t>
  </si>
  <si>
    <t>Slack</t>
  </si>
  <si>
    <t>Maintenance Supervisor Northern Indiana Region</t>
  </si>
  <si>
    <t>00QF000000LoykG</t>
  </si>
  <si>
    <t>Kamphaus</t>
  </si>
  <si>
    <t>00QF000000LoykH</t>
  </si>
  <si>
    <t>Bryan</t>
  </si>
  <si>
    <t>Advanced Senior Facilities Engineer</t>
  </si>
  <si>
    <t>00QF000000LoykI</t>
  </si>
  <si>
    <t>Stanton</t>
  </si>
  <si>
    <t>Manager, Facilitiy Services</t>
  </si>
  <si>
    <t>00QF000000LoykJ</t>
  </si>
  <si>
    <t>Dobrzeniecki</t>
  </si>
  <si>
    <t>Field Manager</t>
  </si>
  <si>
    <t>00QF000000LoykK</t>
  </si>
  <si>
    <t>00QF000000LoykL</t>
  </si>
  <si>
    <t>Aron</t>
  </si>
  <si>
    <t>Schuessler</t>
  </si>
  <si>
    <t>Maintenance Technician - Chicago/Milwaukee</t>
  </si>
  <si>
    <t>00QF000000LoykM</t>
  </si>
  <si>
    <t>00QF000000LoykN</t>
  </si>
  <si>
    <t>Chad</t>
  </si>
  <si>
    <t>Haglin</t>
  </si>
  <si>
    <t>Process and Construction</t>
  </si>
  <si>
    <t>00QF000000LoykO</t>
  </si>
  <si>
    <t>LeRoy</t>
  </si>
  <si>
    <t>COO and Director general Operations</t>
  </si>
  <si>
    <t>00QF000000LoykP</t>
  </si>
  <si>
    <t>Tighe</t>
  </si>
  <si>
    <t>00QF000000LoykQ</t>
  </si>
  <si>
    <t>Ann Marie</t>
  </si>
  <si>
    <t>Lauguateria</t>
  </si>
  <si>
    <t>00QF000000NNakJ</t>
  </si>
  <si>
    <t>Ward</t>
  </si>
  <si>
    <t>SVP MConstruction, Maintenance &amp; Environmental</t>
  </si>
  <si>
    <t>00QF000000NNfbt</t>
  </si>
  <si>
    <t>Newbold</t>
  </si>
  <si>
    <t>VP Facilities</t>
  </si>
  <si>
    <t>00QF000000NNfzL</t>
  </si>
  <si>
    <t>Pru</t>
  </si>
  <si>
    <t>Facilities coordinator</t>
  </si>
  <si>
    <t>00QF000000NNro3</t>
  </si>
  <si>
    <t>Natalie</t>
  </si>
  <si>
    <t>Houder</t>
  </si>
  <si>
    <t>00QF000000NNsWd</t>
  </si>
  <si>
    <t>Joyce</t>
  </si>
  <si>
    <t>00QF000000NNsew</t>
  </si>
  <si>
    <t>Stacy</t>
  </si>
  <si>
    <t>Simpson</t>
  </si>
  <si>
    <t>00QF000000NNsfJ</t>
  </si>
  <si>
    <t>Mai</t>
  </si>
  <si>
    <t>energy analyst</t>
  </si>
  <si>
    <t>00QF000000NNsoD</t>
  </si>
  <si>
    <t>Del Taco</t>
  </si>
  <si>
    <t>Steven Shartzer</t>
  </si>
  <si>
    <t>Druse</t>
  </si>
  <si>
    <t>00QA0000006wRx1</t>
  </si>
  <si>
    <t>Johnny Rockets</t>
  </si>
  <si>
    <t>Shotzbarger</t>
  </si>
  <si>
    <t>00QA0000006wRxD</t>
  </si>
  <si>
    <t>Kahala</t>
  </si>
  <si>
    <t>Bauder</t>
  </si>
  <si>
    <t>00QA0000006wRxE</t>
  </si>
  <si>
    <t>Hesley</t>
  </si>
  <si>
    <t>00QA0000006wRxF</t>
  </si>
  <si>
    <t>Nettleton</t>
  </si>
  <si>
    <t>00QA0000006wRxG</t>
  </si>
  <si>
    <t>Papa Murphy's</t>
  </si>
  <si>
    <t>Gerritz</t>
  </si>
  <si>
    <t>00QA0000006wRxY</t>
  </si>
  <si>
    <t>Schnucks</t>
  </si>
  <si>
    <t>Ross</t>
  </si>
  <si>
    <t>Hutsel</t>
  </si>
  <si>
    <t>Director, Facilities / Engineering</t>
  </si>
  <si>
    <t>00QA0000007XqGY</t>
  </si>
  <si>
    <t>HEB Grocery</t>
  </si>
  <si>
    <t>Triplett</t>
  </si>
  <si>
    <t>Architect VP of planningDesign and Construction</t>
  </si>
  <si>
    <t>00QA0000007XqGa</t>
  </si>
  <si>
    <t>Archer</t>
  </si>
  <si>
    <t>Operations Manager, Facility Management</t>
  </si>
  <si>
    <t>00QA0000008uL2O</t>
  </si>
  <si>
    <t>Garden Fresh Restaurant Corp</t>
  </si>
  <si>
    <t>Durler</t>
  </si>
  <si>
    <t>00QA0000008uL2U</t>
  </si>
  <si>
    <t>Fresh &amp; Easy Neighborhood Market</t>
  </si>
  <si>
    <t>Hagen</t>
  </si>
  <si>
    <t>Director, Procurement &amp; Engineering</t>
  </si>
  <si>
    <t>00QA0000008uL2e</t>
  </si>
  <si>
    <t>In-N-Out-Burger</t>
  </si>
  <si>
    <t>Director, MIS</t>
  </si>
  <si>
    <t>00QA0000008uL2h</t>
  </si>
  <si>
    <t>Jeannie</t>
  </si>
  <si>
    <t>Malone</t>
  </si>
  <si>
    <t>00QA0000008uL2o</t>
  </si>
  <si>
    <t>Gerland's Food Fair</t>
  </si>
  <si>
    <t>Nesbit</t>
  </si>
  <si>
    <t>00QA0000008uL2t</t>
  </si>
  <si>
    <t>Winn</t>
  </si>
  <si>
    <t>Manager of Procurement Processes</t>
  </si>
  <si>
    <t>00QA0000008uL3E</t>
  </si>
  <si>
    <t>Einstein Noah Restaurant Group</t>
  </si>
  <si>
    <t>Scheuermann</t>
  </si>
  <si>
    <t>Manager of Sustainability</t>
  </si>
  <si>
    <t>00QA000000D9EZt</t>
  </si>
  <si>
    <t>Red Robin Gourmet Burgers</t>
  </si>
  <si>
    <t>Trovalli</t>
  </si>
  <si>
    <t>00QA000000D9EaU</t>
  </si>
  <si>
    <t>Barrows</t>
  </si>
  <si>
    <t>Vice President, Facility Operations and Services</t>
  </si>
  <si>
    <t>00QA000000GpANa</t>
  </si>
  <si>
    <t>Caren</t>
  </si>
  <si>
    <t>Easterling</t>
  </si>
  <si>
    <t>Director of Design - Project Development</t>
  </si>
  <si>
    <t>00QA000000GpANb</t>
  </si>
  <si>
    <t>Raley's</t>
  </si>
  <si>
    <t>Helzer</t>
  </si>
  <si>
    <t>Senior Manager Design, Construction, Maintenance</t>
  </si>
  <si>
    <t>00QA000000GpANe</t>
  </si>
  <si>
    <t>Associated Food Stores</t>
  </si>
  <si>
    <t>Porter</t>
  </si>
  <si>
    <t>Director Store Engineering</t>
  </si>
  <si>
    <t>00QA000000GpANi</t>
  </si>
  <si>
    <t>Bashas'</t>
  </si>
  <si>
    <t>Ralph</t>
  </si>
  <si>
    <t>Woodward</t>
  </si>
  <si>
    <t>Director of Retail Operations</t>
  </si>
  <si>
    <t>00QA000000GpANp</t>
  </si>
  <si>
    <t>Save Mart</t>
  </si>
  <si>
    <t>Director of Purchasing and Maintenance</t>
  </si>
  <si>
    <t>00QA000000GpANu</t>
  </si>
  <si>
    <t>Fred Meyer Jewelers</t>
  </si>
  <si>
    <t>Karena</t>
  </si>
  <si>
    <t>Zevely</t>
  </si>
  <si>
    <t>Store Planner</t>
  </si>
  <si>
    <t>00QF000000LnAAe</t>
  </si>
  <si>
    <t>Woodman's Food Market</t>
  </si>
  <si>
    <t>00QF000000LnAJR</t>
  </si>
  <si>
    <t>Vons</t>
  </si>
  <si>
    <t>00QF000000LnAJS</t>
  </si>
  <si>
    <t>Super Center Concepts</t>
  </si>
  <si>
    <t>00QF000000LnAJU</t>
  </si>
  <si>
    <t>Shoppers Food Warehouse</t>
  </si>
  <si>
    <t>Director of Operations Support</t>
  </si>
  <si>
    <t>00QF000000LnAJV</t>
  </si>
  <si>
    <t>Delhaize America (Sweetbay Supermarket)</t>
  </si>
  <si>
    <t>Fernald</t>
  </si>
  <si>
    <t>Senior VP of Operations</t>
  </si>
  <si>
    <t>00QF000000LnAJW</t>
  </si>
  <si>
    <t>McHolm</t>
  </si>
  <si>
    <t>00QF000000LnAJX</t>
  </si>
  <si>
    <t>King Soopers</t>
  </si>
  <si>
    <t>00QF000000LnAJY</t>
  </si>
  <si>
    <t>Grocery Outlet</t>
  </si>
  <si>
    <t>Marotta</t>
  </si>
  <si>
    <t>Dir. Store Planning and Refrigerations</t>
  </si>
  <si>
    <t>00QF000000LnAJZ</t>
  </si>
  <si>
    <t>Jewel-Osco</t>
  </si>
  <si>
    <t>Adekola</t>
  </si>
  <si>
    <t>Okulaja</t>
  </si>
  <si>
    <t>Store Operations Management</t>
  </si>
  <si>
    <t>00QF000000LnAJb</t>
  </si>
  <si>
    <t>Albertson's</t>
  </si>
  <si>
    <t>Lavin</t>
  </si>
  <si>
    <t>00QF000000LnAJc</t>
  </si>
  <si>
    <t>Trader Joe's</t>
  </si>
  <si>
    <t>Hetzel</t>
  </si>
  <si>
    <t>00QF000000LnAJd</t>
  </si>
  <si>
    <t>URM Stores Inc.</t>
  </si>
  <si>
    <t>Slovarp</t>
  </si>
  <si>
    <t>00QF000000LnAJh</t>
  </si>
  <si>
    <t>Econofoods</t>
  </si>
  <si>
    <t>Westad</t>
  </si>
  <si>
    <t>Planning Manager</t>
  </si>
  <si>
    <t>00QF000000LnAJi</t>
  </si>
  <si>
    <t>Freehauf</t>
  </si>
  <si>
    <t>00QF000000LnALV</t>
  </si>
  <si>
    <t>Andronico's Market</t>
  </si>
  <si>
    <t>Paz</t>
  </si>
  <si>
    <t>00QF000000LnALX</t>
  </si>
  <si>
    <t>Dahl's Foods</t>
  </si>
  <si>
    <t>00QF000000LnALY</t>
  </si>
  <si>
    <t>Roth's</t>
  </si>
  <si>
    <t>Jennings</t>
  </si>
  <si>
    <t>00QF000000LnALZ</t>
  </si>
  <si>
    <t>Rosauers</t>
  </si>
  <si>
    <t>Facilities Purchasing</t>
  </si>
  <si>
    <t>00QF000000LnALd</t>
  </si>
  <si>
    <t>Foodland Super Market</t>
  </si>
  <si>
    <t>Bommersbach</t>
  </si>
  <si>
    <t>Office Manager</t>
  </si>
  <si>
    <t>00QF000000LnALg</t>
  </si>
  <si>
    <t>WinCo Foods</t>
  </si>
  <si>
    <t>Rich</t>
  </si>
  <si>
    <t>Charrier</t>
  </si>
  <si>
    <t>00QF000000LnALn</t>
  </si>
  <si>
    <t>Food 4 Less</t>
  </si>
  <si>
    <t>Kaltenbach</t>
  </si>
  <si>
    <t>00QF000000LnALp</t>
  </si>
  <si>
    <t>Fry's Food</t>
  </si>
  <si>
    <t>Julian</t>
  </si>
  <si>
    <t>00QF000000LnALs</t>
  </si>
  <si>
    <t>Smith's Marketplace</t>
  </si>
  <si>
    <t>Lisby</t>
  </si>
  <si>
    <t>00QF000000LnALw</t>
  </si>
  <si>
    <t>Giant Food</t>
  </si>
  <si>
    <t>Bernie</t>
  </si>
  <si>
    <t>Dir. Real Estate</t>
  </si>
  <si>
    <t>00QF000000LnALx</t>
  </si>
  <si>
    <t>Dillon's</t>
  </si>
  <si>
    <t>DeLuca</t>
  </si>
  <si>
    <t>00QF000000LnALy</t>
  </si>
  <si>
    <t>Sam's Club</t>
  </si>
  <si>
    <t>Hatch</t>
  </si>
  <si>
    <t>Sr. Director of Planning</t>
  </si>
  <si>
    <t>00QF000000LnAM1</t>
  </si>
  <si>
    <t>Walley</t>
  </si>
  <si>
    <t>Market Development, Real Estate &amp; Construction</t>
  </si>
  <si>
    <t>00QF000000LnAM6</t>
  </si>
  <si>
    <t>Consolidated Restaurant Operations (CRO)</t>
  </si>
  <si>
    <t>Chip</t>
  </si>
  <si>
    <t>Rauschenberger</t>
  </si>
  <si>
    <t>00QF000000LnAM7</t>
  </si>
  <si>
    <t>Sunflower Farmers Market</t>
  </si>
  <si>
    <t>Halverson</t>
  </si>
  <si>
    <t>00QF000000LnAMC</t>
  </si>
  <si>
    <t>Ray</t>
  </si>
  <si>
    <t>Agah</t>
  </si>
  <si>
    <t>Vice President of Engineering</t>
  </si>
  <si>
    <t>00QF000000LnAMI</t>
  </si>
  <si>
    <t>Retail - Pharmacy</t>
  </si>
  <si>
    <t>Brooks-Eckerd Pharmacy</t>
  </si>
  <si>
    <t>Lesniewski</t>
  </si>
  <si>
    <t>Director-Maintenance &amp; Facilities</t>
  </si>
  <si>
    <t>00QF000000LnAMN</t>
  </si>
  <si>
    <t>Roundy's Supermarkets</t>
  </si>
  <si>
    <t>Derrick</t>
  </si>
  <si>
    <t>Ahler</t>
  </si>
  <si>
    <t>Vice President Store Planning and Design</t>
  </si>
  <si>
    <t>00QF000000LnAMQ</t>
  </si>
  <si>
    <t>GFS Marketplace</t>
  </si>
  <si>
    <t>Cory</t>
  </si>
  <si>
    <t>Holverstott</t>
  </si>
  <si>
    <t>Manager of Construction, Facilities &amp; Planning</t>
  </si>
  <si>
    <t>00QF000000LnAMS</t>
  </si>
  <si>
    <t>Round Table Pizza</t>
  </si>
  <si>
    <t>Fleury</t>
  </si>
  <si>
    <t>00QF000000LnAMo</t>
  </si>
  <si>
    <t>Zwerling</t>
  </si>
  <si>
    <t>Regional Director</t>
  </si>
  <si>
    <t>00QF000000LnANM</t>
  </si>
  <si>
    <t>Taco John's</t>
  </si>
  <si>
    <t>Director Franchise Development</t>
  </si>
  <si>
    <t>00QF000000LnANe</t>
  </si>
  <si>
    <t>Maui Wowi</t>
  </si>
  <si>
    <t>Weinberger</t>
  </si>
  <si>
    <t>00QF000000LnANf</t>
  </si>
  <si>
    <t>Drake</t>
  </si>
  <si>
    <t>Director, Facilities at Einstein Noah Restaurant Group Inc</t>
  </si>
  <si>
    <t>00QF000000LnANg</t>
  </si>
  <si>
    <t>Gordon Food Service</t>
  </si>
  <si>
    <t>Strouse</t>
  </si>
  <si>
    <t>Facilities Manager stores</t>
  </si>
  <si>
    <t>00QF000000LnANw</t>
  </si>
  <si>
    <t>P.F. Chang's China Bistro</t>
  </si>
  <si>
    <t>Maria</t>
  </si>
  <si>
    <t>Director, Facilities Management at Pei Wei Asian Diner, Inc.</t>
  </si>
  <si>
    <t>00QF000000LnAOo</t>
  </si>
  <si>
    <t>The Cheesecake Factory</t>
  </si>
  <si>
    <t>Rinack</t>
  </si>
  <si>
    <t>00QF000000LnHHO</t>
  </si>
  <si>
    <t>Rebecca</t>
  </si>
  <si>
    <t>Aoun</t>
  </si>
  <si>
    <t>Energy Project Manager</t>
  </si>
  <si>
    <t>00QF000000LnHIQ</t>
  </si>
  <si>
    <t>Wierman</t>
  </si>
  <si>
    <t>Vice President of Operations, Cantina Laredo</t>
  </si>
  <si>
    <t>00QF000000LoBGO</t>
  </si>
  <si>
    <t>Rocky</t>
  </si>
  <si>
    <t>Vanover</t>
  </si>
  <si>
    <t>Vice President Facilities Construction</t>
  </si>
  <si>
    <t>00QF000000LoBGP</t>
  </si>
  <si>
    <t>Allen</t>
  </si>
  <si>
    <t>National Director of Construction</t>
  </si>
  <si>
    <t>00QF000000LoBGo</t>
  </si>
  <si>
    <t>Alex</t>
  </si>
  <si>
    <t>Kanapilly</t>
  </si>
  <si>
    <t>VP Design &amp; Facilities</t>
  </si>
  <si>
    <t>00QF000000LoBGq</t>
  </si>
  <si>
    <t>Vikki</t>
  </si>
  <si>
    <t>Scholten</t>
  </si>
  <si>
    <t>00QF000000LoBGv</t>
  </si>
  <si>
    <t>In-N-Out Burger</t>
  </si>
  <si>
    <t>Inocente</t>
  </si>
  <si>
    <t>00QF000000LoBGz</t>
  </si>
  <si>
    <t>Phillip</t>
  </si>
  <si>
    <t>Director, Commodities Purchasing</t>
  </si>
  <si>
    <t>00QF000000LoBH1</t>
  </si>
  <si>
    <t>Fritz</t>
  </si>
  <si>
    <t>Asset Management Manager</t>
  </si>
  <si>
    <t>00QF000000LoBI0</t>
  </si>
  <si>
    <t>Lopez</t>
  </si>
  <si>
    <t>Manager-Energy &amp; Engineering Services</t>
  </si>
  <si>
    <t>00QF000000LoBI1</t>
  </si>
  <si>
    <t>Juanita</t>
  </si>
  <si>
    <t>TBD</t>
  </si>
  <si>
    <t>Gatekeeper Energy Dept</t>
  </si>
  <si>
    <t>00QF000000LoBI2</t>
  </si>
  <si>
    <t>Manning</t>
  </si>
  <si>
    <t>Director of Energy and Industrial Facilities</t>
  </si>
  <si>
    <t>00QF000000LoBI3</t>
  </si>
  <si>
    <t>Charlie</t>
  </si>
  <si>
    <t>Wernette</t>
  </si>
  <si>
    <t>Retail Engineering Design Team Leader</t>
  </si>
  <si>
    <t>00QF000000LoBI4</t>
  </si>
  <si>
    <t>Delgado</t>
  </si>
  <si>
    <t>Engineering Technician</t>
  </si>
  <si>
    <t>00QF000000LoBI5</t>
  </si>
  <si>
    <t>Kapp</t>
  </si>
  <si>
    <t>Japhet</t>
  </si>
  <si>
    <t>Utility &amp; Energy Manager</t>
  </si>
  <si>
    <t>00QF000000LoBI6</t>
  </si>
  <si>
    <t>Wright</t>
  </si>
  <si>
    <t>Maintenance Supervisor</t>
  </si>
  <si>
    <t>00QF000000LoBIB</t>
  </si>
  <si>
    <t>00QF000000LoBIC</t>
  </si>
  <si>
    <t>Munoz</t>
  </si>
  <si>
    <t>Corporate Manager, Utilities</t>
  </si>
  <si>
    <t>00QF000000LoBIR</t>
  </si>
  <si>
    <t>Nameth</t>
  </si>
  <si>
    <t>Manager of Maintenance</t>
  </si>
  <si>
    <t>00QF000000LoBIS</t>
  </si>
  <si>
    <t>Asp</t>
  </si>
  <si>
    <t>Utility Manager-Construction Dept.</t>
  </si>
  <si>
    <t>00QF000000LoBJ3</t>
  </si>
  <si>
    <t>Fred Meyer</t>
  </si>
  <si>
    <t>NW Regional Energy Manager</t>
  </si>
  <si>
    <t>00QF000000LoBKa</t>
  </si>
  <si>
    <t>Schmidlkofer</t>
  </si>
  <si>
    <t>Energy Engineer</t>
  </si>
  <si>
    <t>00QF000000LoBKb</t>
  </si>
  <si>
    <t>Manny</t>
  </si>
  <si>
    <t>Garza</t>
  </si>
  <si>
    <t>Graduate Engineer</t>
  </si>
  <si>
    <t>00QF000000LoBKd</t>
  </si>
  <si>
    <t>Kroger</t>
  </si>
  <si>
    <t>Kyle</t>
  </si>
  <si>
    <t>Seeling</t>
  </si>
  <si>
    <t>Corporate Incentive Engineer</t>
  </si>
  <si>
    <t>00QF000000LoBKk</t>
  </si>
  <si>
    <t>MacDonald</t>
  </si>
  <si>
    <t>00QF000000LoBKl</t>
  </si>
  <si>
    <t>Consler</t>
  </si>
  <si>
    <t>Vice President, Sustainability</t>
  </si>
  <si>
    <t>00QF000000LoBOc</t>
  </si>
  <si>
    <t>Vincent</t>
  </si>
  <si>
    <t>Director, Supply Chain Sustainability</t>
  </si>
  <si>
    <t>00QF000000LoBOi</t>
  </si>
  <si>
    <t>Glenda</t>
  </si>
  <si>
    <t>Wood</t>
  </si>
  <si>
    <t>Director Pricing and Promotion Corporate Fuel and Energy</t>
  </si>
  <si>
    <t>00QF000000LoBOj</t>
  </si>
  <si>
    <t>Jeffrey</t>
  </si>
  <si>
    <t>Group Vice President - Perishables Merchandising and Procurement</t>
  </si>
  <si>
    <t>00QF000000LoBOr</t>
  </si>
  <si>
    <t>Davies</t>
  </si>
  <si>
    <t>Regional Chief Financial Officer and Controller</t>
  </si>
  <si>
    <t>00QF000000LoBOs</t>
  </si>
  <si>
    <t>Dillon</t>
  </si>
  <si>
    <t>Chairman of the Board, Chief Executive Officer</t>
  </si>
  <si>
    <t>00QF000000LoBOt</t>
  </si>
  <si>
    <t>Russ</t>
  </si>
  <si>
    <t>Dispense</t>
  </si>
  <si>
    <t>00QF000000LoBOu</t>
  </si>
  <si>
    <t>Sustainability Champion</t>
  </si>
  <si>
    <t>00QF000000LoBOv</t>
  </si>
  <si>
    <t>Handy</t>
  </si>
  <si>
    <t>Project Manager Sustainability</t>
  </si>
  <si>
    <t>00QF000000LoBOw</t>
  </si>
  <si>
    <t>Heimbouch</t>
  </si>
  <si>
    <t>Chief Operating Officer Senior Executive Vice President</t>
  </si>
  <si>
    <t>00QF000000LoBOx</t>
  </si>
  <si>
    <t>Lacroix</t>
  </si>
  <si>
    <t>00QF000000LoBOy</t>
  </si>
  <si>
    <t>Martinusen</t>
  </si>
  <si>
    <t>00QF000000LoBOz</t>
  </si>
  <si>
    <t>Pahl</t>
  </si>
  <si>
    <t>00QF000000LoBP0</t>
  </si>
  <si>
    <t>J. Michael</t>
  </si>
  <si>
    <t>Schlotman</t>
  </si>
  <si>
    <t>Chief Financial Officer, Senior Vice President</t>
  </si>
  <si>
    <t>00QF000000LoBP1</t>
  </si>
  <si>
    <t>Shawn</t>
  </si>
  <si>
    <t>00QF000000LoBP2</t>
  </si>
  <si>
    <t>Roz</t>
  </si>
  <si>
    <t>Guthrie</t>
  </si>
  <si>
    <t>Director of Corporate Facilities</t>
  </si>
  <si>
    <t>00QF000000LoDKq</t>
  </si>
  <si>
    <t>Lolmaugh</t>
  </si>
  <si>
    <t>Director, Brand Facilities</t>
  </si>
  <si>
    <t>00QF000000LoDKr</t>
  </si>
  <si>
    <t>Potts</t>
  </si>
  <si>
    <t>Regional Director of Facilities</t>
  </si>
  <si>
    <t>00QF000000LoDLA</t>
  </si>
  <si>
    <t>Behr</t>
  </si>
  <si>
    <t>Director of Facilities and Maintenance</t>
  </si>
  <si>
    <t>00QF000000LoDM8</t>
  </si>
  <si>
    <t>F. Johnathon</t>
  </si>
  <si>
    <t>Heffner</t>
  </si>
  <si>
    <t>Director of Facilities Research</t>
  </si>
  <si>
    <t>00QF000000LoDM9</t>
  </si>
  <si>
    <t>Albert</t>
  </si>
  <si>
    <t>Clay</t>
  </si>
  <si>
    <t>00QF000000LoDMF</t>
  </si>
  <si>
    <t>Waidelich</t>
  </si>
  <si>
    <t>Vice President for Energy Operations</t>
  </si>
  <si>
    <t>00QF000000LoDMK</t>
  </si>
  <si>
    <t>Estberg</t>
  </si>
  <si>
    <t>00QF000000LoDML</t>
  </si>
  <si>
    <t>Meerdo</t>
  </si>
  <si>
    <t>Supervisor Facility/Maintenance</t>
  </si>
  <si>
    <t>00QF000000LoDMM</t>
  </si>
  <si>
    <t>McMahon</t>
  </si>
  <si>
    <t>00QF000000LoDMW</t>
  </si>
  <si>
    <t>00QF000000LoDMX</t>
  </si>
  <si>
    <t>Vice President of Operations</t>
  </si>
  <si>
    <t>00QF000000LoJ5J</t>
  </si>
  <si>
    <t>Luther</t>
  </si>
  <si>
    <t>00QF000000Loyju</t>
  </si>
  <si>
    <t>Holler</t>
  </si>
  <si>
    <t>Director of Development, Architecture and Design</t>
  </si>
  <si>
    <t>00QF000000Loyjv</t>
  </si>
  <si>
    <t>Rogers</t>
  </si>
  <si>
    <t>VP Capital Purchasing</t>
  </si>
  <si>
    <t>00QF000000LoykR</t>
  </si>
  <si>
    <t>McAdam</t>
  </si>
  <si>
    <t>Group Director of Maintenance and Utilities</t>
  </si>
  <si>
    <t>00QF000000Loykx</t>
  </si>
  <si>
    <t>Geoff</t>
  </si>
  <si>
    <t>Group Director, Construction &amp; Procurement</t>
  </si>
  <si>
    <t>00QF000000Loyky</t>
  </si>
  <si>
    <t>Christopherson</t>
  </si>
  <si>
    <t>00QF000000Loyl9</t>
  </si>
  <si>
    <t>Benihana</t>
  </si>
  <si>
    <t>Jonathan Berger</t>
  </si>
  <si>
    <t>Abbruzese</t>
  </si>
  <si>
    <t>00QA0000006wRwl</t>
  </si>
  <si>
    <t>McNeely</t>
  </si>
  <si>
    <t>00QA0000006wRwm</t>
  </si>
  <si>
    <t>Checkers Drive-In</t>
  </si>
  <si>
    <t>00QA0000006wRws</t>
  </si>
  <si>
    <t>Dave &amp; Buster's</t>
  </si>
  <si>
    <t>Cari</t>
  </si>
  <si>
    <t>Chancelor</t>
  </si>
  <si>
    <t>00QA0000006wRx0</t>
  </si>
  <si>
    <t>Texas Land &amp; Cattle / Lone Star Steakhouse</t>
  </si>
  <si>
    <t>Finch</t>
  </si>
  <si>
    <t>00QA0000006wRxK</t>
  </si>
  <si>
    <t>McAlister's</t>
  </si>
  <si>
    <t>Pool</t>
  </si>
  <si>
    <t>00QA0000006wRxL</t>
  </si>
  <si>
    <t>Taco Bell</t>
  </si>
  <si>
    <t>Ashby</t>
  </si>
  <si>
    <t>00QA0000006wRxg</t>
  </si>
  <si>
    <t>Azalde</t>
  </si>
  <si>
    <t>00QA0000006wRxh</t>
  </si>
  <si>
    <t>Abercrombie &amp; Fitch</t>
  </si>
  <si>
    <t>Ferguson</t>
  </si>
  <si>
    <t>Vice President - Merchandising</t>
  </si>
  <si>
    <t>00QA0000007XqGE</t>
  </si>
  <si>
    <t>Abed</t>
  </si>
  <si>
    <t>Karaze</t>
  </si>
  <si>
    <t>Senior Vice President of Design &amp; Construction</t>
  </si>
  <si>
    <t>00QA0000007XqGF</t>
  </si>
  <si>
    <t>TJX Companies (TJ Maxx, Marshall's, HomeGoods)</t>
  </si>
  <si>
    <t>Dehner</t>
  </si>
  <si>
    <t>Energy Technology Manager</t>
  </si>
  <si>
    <t>00QA0000007XqPh</t>
  </si>
  <si>
    <t>Big 5 Sporting Goods</t>
  </si>
  <si>
    <t>Dorman</t>
  </si>
  <si>
    <t>Leighty</t>
  </si>
  <si>
    <t>VP Property Management</t>
  </si>
  <si>
    <t>00QA0000008uARv</t>
  </si>
  <si>
    <t>Disbrow</t>
  </si>
  <si>
    <t>00QA0000008uARw</t>
  </si>
  <si>
    <t>Bridgestone Firestone</t>
  </si>
  <si>
    <t>Bell</t>
  </si>
  <si>
    <t>unknown</t>
  </si>
  <si>
    <t>00QA0000008uARx</t>
  </si>
  <si>
    <t>Captain D's</t>
  </si>
  <si>
    <t>Duane</t>
  </si>
  <si>
    <t>Dir, Franchise Ops</t>
  </si>
  <si>
    <t>00QA0000008uASG</t>
  </si>
  <si>
    <t>Dollar Tree</t>
  </si>
  <si>
    <t>Ann</t>
  </si>
  <si>
    <t>Gurnee</t>
  </si>
  <si>
    <t>Dir of Real Estate Mgmt</t>
  </si>
  <si>
    <t>00QA0000008uASM</t>
  </si>
  <si>
    <t>Firehouse Subs</t>
  </si>
  <si>
    <t>Sorenson</t>
  </si>
  <si>
    <t>00QA0000008uASN</t>
  </si>
  <si>
    <t>Office Depot</t>
  </si>
  <si>
    <t>Julie</t>
  </si>
  <si>
    <t>Augustyn</t>
  </si>
  <si>
    <t>Director of Real Estate</t>
  </si>
  <si>
    <t>00QA0000008uASU</t>
  </si>
  <si>
    <t>Rite Aid</t>
  </si>
  <si>
    <t>Fazakerley</t>
  </si>
  <si>
    <t>Vice President of Corporate &amp; Retail Facilities</t>
  </si>
  <si>
    <t>00QA0000008uL2W</t>
  </si>
  <si>
    <t>Army &amp; Air Force Exchange (AAFES)</t>
  </si>
  <si>
    <t>Finley</t>
  </si>
  <si>
    <t>Chief Business Planning Officer</t>
  </si>
  <si>
    <t>00QA0000008uL2Y</t>
  </si>
  <si>
    <t>Gentry</t>
  </si>
  <si>
    <t>Vice President Real Estate Planning</t>
  </si>
  <si>
    <t>00QA0000008uL2a</t>
  </si>
  <si>
    <t>Formal Specialists</t>
  </si>
  <si>
    <t>Gordon</t>
  </si>
  <si>
    <t>Vice President of Store Planning, Design &amp; Construction</t>
  </si>
  <si>
    <t>00QA0000008uL2c</t>
  </si>
  <si>
    <t>Brookshire Brothers</t>
  </si>
  <si>
    <t>00QA0000008uL2g</t>
  </si>
  <si>
    <t>Deneice</t>
  </si>
  <si>
    <t>Marshall</t>
  </si>
  <si>
    <t>Director of Retail Services</t>
  </si>
  <si>
    <t>00QA0000008uL2p</t>
  </si>
  <si>
    <t>Wade</t>
  </si>
  <si>
    <t>Sr Manager, Design &amp; Construction</t>
  </si>
  <si>
    <t>00QA0000008uL2y</t>
  </si>
  <si>
    <t>Michaels Arts and Crafts</t>
  </si>
  <si>
    <t>Schleef</t>
  </si>
  <si>
    <t>Senior Director of Store Development</t>
  </si>
  <si>
    <t>00QA0000008uL30</t>
  </si>
  <si>
    <t>Sr Director, Architecture &amp; Engineering</t>
  </si>
  <si>
    <t>00QA0000008uL38</t>
  </si>
  <si>
    <t>Dollar General</t>
  </si>
  <si>
    <t>Nieser</t>
  </si>
  <si>
    <t>VP, Construction &amp; Store Development</t>
  </si>
  <si>
    <t>00QA0000008uL3N</t>
  </si>
  <si>
    <t>Mark E.</t>
  </si>
  <si>
    <t>00QA0000008uL3P</t>
  </si>
  <si>
    <t>Williams-Sonoma</t>
  </si>
  <si>
    <t>Patti</t>
  </si>
  <si>
    <t>Kashima</t>
  </si>
  <si>
    <t>Director, Store Design</t>
  </si>
  <si>
    <t>00QA0000008uL3U</t>
  </si>
  <si>
    <t>Sleepy's The Mattress Professionals</t>
  </si>
  <si>
    <t>Angelo</t>
  </si>
  <si>
    <t>Volonakis</t>
  </si>
  <si>
    <t>Director of Planning, Design, &amp; Construction</t>
  </si>
  <si>
    <t>00QA0000008uL3l</t>
  </si>
  <si>
    <t>Sheila</t>
  </si>
  <si>
    <t>Scull</t>
  </si>
  <si>
    <t>Energy &amp; Environmental Services Senior Manager</t>
  </si>
  <si>
    <t>00QA000000D9EZo</t>
  </si>
  <si>
    <t>Director of Facilities &amp; Energy Management</t>
  </si>
  <si>
    <t>00QA000000D9EZp</t>
  </si>
  <si>
    <t>Wigner</t>
  </si>
  <si>
    <t>Senior Director of Store Services</t>
  </si>
  <si>
    <t>00QA000000D9EZq</t>
  </si>
  <si>
    <t>JC Penney</t>
  </si>
  <si>
    <t>Lauren G.</t>
  </si>
  <si>
    <t>Greenwade</t>
  </si>
  <si>
    <t>Sourcing Specialist</t>
  </si>
  <si>
    <t>00QA000000D9Ea6</t>
  </si>
  <si>
    <t>Masten</t>
  </si>
  <si>
    <t>Senior Sourcing Manager - Energy</t>
  </si>
  <si>
    <t>00QA000000D9Ea7</t>
  </si>
  <si>
    <t>Kohl's</t>
  </si>
  <si>
    <t>Thorsen</t>
  </si>
  <si>
    <t>Assistant Energy Manager</t>
  </si>
  <si>
    <t>00QA000000D9EaA</t>
  </si>
  <si>
    <t>Stage Stores</t>
  </si>
  <si>
    <t>Tanya</t>
  </si>
  <si>
    <t>00QA000000D9Eaf</t>
  </si>
  <si>
    <t>Meachen</t>
  </si>
  <si>
    <t>Director, Budget and Expense</t>
  </si>
  <si>
    <t>00QA000000D9Eag</t>
  </si>
  <si>
    <t>Margaret</t>
  </si>
  <si>
    <t>AVP, Property &amp; Energy Management</t>
  </si>
  <si>
    <t>00QA000000D9Eaw</t>
  </si>
  <si>
    <t>Perrin</t>
  </si>
  <si>
    <t>00QA000000D9Eax</t>
  </si>
  <si>
    <t>Lombardo</t>
  </si>
  <si>
    <t>Director of Construction Services</t>
  </si>
  <si>
    <t>00QA000000GpANr</t>
  </si>
  <si>
    <t>Francis</t>
  </si>
  <si>
    <t>Senior Manager Facilities</t>
  </si>
  <si>
    <t>00QA000000GpANs</t>
  </si>
  <si>
    <t>BJ's Wholesale Club</t>
  </si>
  <si>
    <t>Moran</t>
  </si>
  <si>
    <t>Manager of Energy</t>
  </si>
  <si>
    <t>00QA000000Iiewt</t>
  </si>
  <si>
    <t>Kerri</t>
  </si>
  <si>
    <t>Collins</t>
  </si>
  <si>
    <t>Energy Supervisor</t>
  </si>
  <si>
    <t>00QA000000Iiewx</t>
  </si>
  <si>
    <t>Beaird</t>
  </si>
  <si>
    <t>Project Manager, Engineering/Energy</t>
  </si>
  <si>
    <t>00QA000000Iiewz</t>
  </si>
  <si>
    <t>Tari</t>
  </si>
  <si>
    <t>Emerson</t>
  </si>
  <si>
    <t>Director of Capital Projects and Energy</t>
  </si>
  <si>
    <t>00QA000000Iiex1</t>
  </si>
  <si>
    <t>Marcy</t>
  </si>
  <si>
    <t>Schaefer</t>
  </si>
  <si>
    <t>Energy Management Advisor</t>
  </si>
  <si>
    <t>00QA000000Iiex2</t>
  </si>
  <si>
    <t>Jimmy Jazz</t>
  </si>
  <si>
    <t>Phillips</t>
  </si>
  <si>
    <t>00QF000000LmfLX</t>
  </si>
  <si>
    <t>Retrofitness</t>
  </si>
  <si>
    <t>Roser</t>
  </si>
  <si>
    <t>Director of Real Estate Research and Development</t>
  </si>
  <si>
    <t>00QF000000LmfPc</t>
  </si>
  <si>
    <t>Claire's</t>
  </si>
  <si>
    <t>00QF000000LmfQ1</t>
  </si>
  <si>
    <t>Equinox</t>
  </si>
  <si>
    <t>Evan</t>
  </si>
  <si>
    <t>Thayer</t>
  </si>
  <si>
    <t>Senior Director, Facilities at Equinox</t>
  </si>
  <si>
    <t>00QF000000LmfQz</t>
  </si>
  <si>
    <t>Robin</t>
  </si>
  <si>
    <t>Hebert</t>
  </si>
  <si>
    <t>Senior Maintenance Manager at AutoZone</t>
  </si>
  <si>
    <t>00QF000000LmgQB</t>
  </si>
  <si>
    <t>BCBG Max Azria</t>
  </si>
  <si>
    <t>Summers</t>
  </si>
  <si>
    <t>Vice President of Facilities at BCBG Max Azria Group, Inc.</t>
  </si>
  <si>
    <t>00QF000000LmgS5</t>
  </si>
  <si>
    <t>Manager Store Facilities at Michaels Stores, Inc.</t>
  </si>
  <si>
    <t>00QF000000LmgSU</t>
  </si>
  <si>
    <t>Chips</t>
  </si>
  <si>
    <t>Sr Regional Supervisor at Abercrombie &amp; Fitch</t>
  </si>
  <si>
    <t>00QF000000LmgSk</t>
  </si>
  <si>
    <t>Sportsman's Warehouse</t>
  </si>
  <si>
    <t>Neill</t>
  </si>
  <si>
    <t>Director Of Facilities at Sportsman's Warehouse</t>
  </si>
  <si>
    <t>00QF000000LmgT8</t>
  </si>
  <si>
    <t>Giddens</t>
  </si>
  <si>
    <t>Sr Maintenance Manager at Office Depot</t>
  </si>
  <si>
    <t>00QF000000LmgTX</t>
  </si>
  <si>
    <t>D2C Fine Jewelry</t>
  </si>
  <si>
    <t>Jabra</t>
  </si>
  <si>
    <t>Batshoun</t>
  </si>
  <si>
    <t>Director, Stores and D2C Fine Jewelry Fulfillment Center</t>
  </si>
  <si>
    <t>00QF000000LmgTr</t>
  </si>
  <si>
    <t>Stafford</t>
  </si>
  <si>
    <t>Construction Manager at Abercrombie &amp; Fitch</t>
  </si>
  <si>
    <t>00QF000000LmgUB</t>
  </si>
  <si>
    <t>Party City</t>
  </si>
  <si>
    <t>Marcella</t>
  </si>
  <si>
    <t>Director Facilities/Construction at Party City</t>
  </si>
  <si>
    <t>00QF000000LmgUQ</t>
  </si>
  <si>
    <t>Leon</t>
  </si>
  <si>
    <t>Facility Maintenance Manager at Michaels Arts and Crafts</t>
  </si>
  <si>
    <t>00QF000000LmgUf</t>
  </si>
  <si>
    <t>Bonning</t>
  </si>
  <si>
    <t>Senior Executive Vice President at Kohl's Department Stores</t>
  </si>
  <si>
    <t>00QF000000LmgY8</t>
  </si>
  <si>
    <t>Maureen</t>
  </si>
  <si>
    <t>Lux</t>
  </si>
  <si>
    <t>Manager, Property Management Administration</t>
  </si>
  <si>
    <t>00QF000000Lmi53</t>
  </si>
  <si>
    <t>Charming Shoppes</t>
  </si>
  <si>
    <t>Tara</t>
  </si>
  <si>
    <t>Store Facilities Manager at Charming Shoppes</t>
  </si>
  <si>
    <t>00QF000000Lmi5I</t>
  </si>
  <si>
    <t>jstanl11@jcpenney.com</t>
  </si>
  <si>
    <t>00QF000000LmlCa</t>
  </si>
  <si>
    <t>Liz Claiborne</t>
  </si>
  <si>
    <t>Baxter</t>
  </si>
  <si>
    <t>00QF000000LmlCp</t>
  </si>
  <si>
    <t>Regional Construction Manager at Rite Aid</t>
  </si>
  <si>
    <t>00QF000000LmlD4</t>
  </si>
  <si>
    <t>Service Channel</t>
  </si>
  <si>
    <t>Gottfried</t>
  </si>
  <si>
    <t>00QF000000LmzdB</t>
  </si>
  <si>
    <t>Build A Bear</t>
  </si>
  <si>
    <t>Bartlett</t>
  </si>
  <si>
    <t>Project Manager at Build-A-Bear Workshop</t>
  </si>
  <si>
    <t>00QF000000LmziW</t>
  </si>
  <si>
    <t>Rent A Center</t>
  </si>
  <si>
    <t>Buck</t>
  </si>
  <si>
    <t>Regional Construction Manager at Rent-A-Center</t>
  </si>
  <si>
    <t>00QF000000LmzmU</t>
  </si>
  <si>
    <t>Deb Shops</t>
  </si>
  <si>
    <t>Bruno</t>
  </si>
  <si>
    <t>Director of New Store Construction and Facilities Maintenance</t>
  </si>
  <si>
    <t>00QF000000LmznV</t>
  </si>
  <si>
    <t>BEBE Stores</t>
  </si>
  <si>
    <t>Kristin</t>
  </si>
  <si>
    <t>Bagdon</t>
  </si>
  <si>
    <t>Sr. Facilities Manager at bebe stores, inc.</t>
  </si>
  <si>
    <t>00QF000000Lmznf</t>
  </si>
  <si>
    <t>Advanced America Cash Advance</t>
  </si>
  <si>
    <t>Isbell</t>
  </si>
  <si>
    <t>Director of Construction/Facilities/Purchasing at Advance America Cash Advance</t>
  </si>
  <si>
    <t>00QF000000Lmznp</t>
  </si>
  <si>
    <t>Finish Line</t>
  </si>
  <si>
    <t>Merrick</t>
  </si>
  <si>
    <t>Finish Line Store Repairs</t>
  </si>
  <si>
    <t>00QF000000Lmzo9</t>
  </si>
  <si>
    <t>Matthew</t>
  </si>
  <si>
    <t>Jacobs</t>
  </si>
  <si>
    <t>Facilities Environmental Manager at JC Penney</t>
  </si>
  <si>
    <t>00QF000000Ln06K</t>
  </si>
  <si>
    <t>Eddie Bauer</t>
  </si>
  <si>
    <t>Gale</t>
  </si>
  <si>
    <t>Director of Construction at Eddie Bauer</t>
  </si>
  <si>
    <t>00QF000000Ln06N</t>
  </si>
  <si>
    <t>Big M</t>
  </si>
  <si>
    <t>Medo</t>
  </si>
  <si>
    <t>Doss</t>
  </si>
  <si>
    <t>Director, Store Planning, Construction &amp; Facilities at Big M Inc.</t>
  </si>
  <si>
    <t>00QF000000Ln08k</t>
  </si>
  <si>
    <t>Alan</t>
  </si>
  <si>
    <t>Pellman</t>
  </si>
  <si>
    <t>Vice President Store Development at Charming Shoppes</t>
  </si>
  <si>
    <t>00QF000000Ln08u</t>
  </si>
  <si>
    <t>Massmann</t>
  </si>
  <si>
    <t>Manager of Scheduled Maintenance at Abercrombie &amp; Fitch</t>
  </si>
  <si>
    <t>00QF000000Ln094</t>
  </si>
  <si>
    <t>Nest</t>
  </si>
  <si>
    <t>Bishop</t>
  </si>
  <si>
    <t>Client Service Officer</t>
  </si>
  <si>
    <t>00QF000000Ln191</t>
  </si>
  <si>
    <t>Save A Lot</t>
  </si>
  <si>
    <t>Director/Construction Manager</t>
  </si>
  <si>
    <t>00QF000000Ln6X4</t>
  </si>
  <si>
    <t>Herman</t>
  </si>
  <si>
    <t>Energy Services Manager-EMS</t>
  </si>
  <si>
    <t>00QF000000Ln9l1</t>
  </si>
  <si>
    <t>Lord &amp; Taylor</t>
  </si>
  <si>
    <t>Dominick</t>
  </si>
  <si>
    <t>Ponti</t>
  </si>
  <si>
    <t>SVP, Design &amp; Construction</t>
  </si>
  <si>
    <t>00QF000000LnA7S</t>
  </si>
  <si>
    <t>Old Navy</t>
  </si>
  <si>
    <t>Moyer</t>
  </si>
  <si>
    <t>Senior Designer Store Design</t>
  </si>
  <si>
    <t>00QF000000LnA8O</t>
  </si>
  <si>
    <t>McMillan</t>
  </si>
  <si>
    <t>00QF000000LnA8P</t>
  </si>
  <si>
    <t>Williams-Sonoma (Pottery Barn)</t>
  </si>
  <si>
    <t>Gong</t>
  </si>
  <si>
    <t>00QF000000LnA8R</t>
  </si>
  <si>
    <t>Ross Stores</t>
  </si>
  <si>
    <t>00QF000000LnA8T</t>
  </si>
  <si>
    <t>24 Hour Fitness</t>
  </si>
  <si>
    <t>Wisk</t>
  </si>
  <si>
    <t>VP-Construction</t>
  </si>
  <si>
    <t>00QF000000LnA8W</t>
  </si>
  <si>
    <t>99 Only Stores</t>
  </si>
  <si>
    <t>Digson</t>
  </si>
  <si>
    <t>00QF000000LnA8X</t>
  </si>
  <si>
    <t>PostalAnnex+</t>
  </si>
  <si>
    <t>Goble</t>
  </si>
  <si>
    <t>VP Marketing</t>
  </si>
  <si>
    <t>00QF000000LnA8Y</t>
  </si>
  <si>
    <t>Cost Plus</t>
  </si>
  <si>
    <t>00QF000000LnA8Z</t>
  </si>
  <si>
    <t>Lamps Plus</t>
  </si>
  <si>
    <t>Adao</t>
  </si>
  <si>
    <t>Senior Manager, Real Estate &amp; Facilities</t>
  </si>
  <si>
    <t>00QF000000LnA8b</t>
  </si>
  <si>
    <t>ProBuild Holdings</t>
  </si>
  <si>
    <t>Atkinson</t>
  </si>
  <si>
    <t>Director Marketing, Communications</t>
  </si>
  <si>
    <t>00QF000000LnA8g</t>
  </si>
  <si>
    <t>Crocs</t>
  </si>
  <si>
    <t>Landblom</t>
  </si>
  <si>
    <t>Director, Retail Store Development</t>
  </si>
  <si>
    <t>00QF000000LnA8h</t>
  </si>
  <si>
    <t>Yalmaz</t>
  </si>
  <si>
    <t>Siddiqui</t>
  </si>
  <si>
    <t>Director of Environmental Strategy</t>
  </si>
  <si>
    <t>00QF000000LnA8l</t>
  </si>
  <si>
    <t>Chico's</t>
  </si>
  <si>
    <t>Schlegel</t>
  </si>
  <si>
    <t>Senior Director, Store Design &amp; Planning</t>
  </si>
  <si>
    <t>00QF000000LnA8r</t>
  </si>
  <si>
    <t>Havertys Furniture</t>
  </si>
  <si>
    <t>Glenn</t>
  </si>
  <si>
    <t>Boone</t>
  </si>
  <si>
    <t>Director of Construction &amp; Design</t>
  </si>
  <si>
    <t>00QF000000LnA8v</t>
  </si>
  <si>
    <t>Lindsay</t>
  </si>
  <si>
    <t>Vetzner</t>
  </si>
  <si>
    <t>00QF000000LnA98</t>
  </si>
  <si>
    <t>Kristina</t>
  </si>
  <si>
    <t>Sr. Facility Maintenance Associate</t>
  </si>
  <si>
    <t>00QF000000LnA99</t>
  </si>
  <si>
    <t>Duckwall-ALCO Stores</t>
  </si>
  <si>
    <t>Stroud</t>
  </si>
  <si>
    <t>00QF000000LnA9A</t>
  </si>
  <si>
    <t>La-Z-Boy</t>
  </si>
  <si>
    <t>00QF000000LnA9N</t>
  </si>
  <si>
    <t>Papagna</t>
  </si>
  <si>
    <t>Director of Refrigeration</t>
  </si>
  <si>
    <t>00QF000000LnA9Z</t>
  </si>
  <si>
    <t>The Buckle</t>
  </si>
  <si>
    <t>Casper</t>
  </si>
  <si>
    <t>00QF000000LnA9n</t>
  </si>
  <si>
    <t>Vitamin Shoppe</t>
  </si>
  <si>
    <t>Murray</t>
  </si>
  <si>
    <t>Director of Construction/ Facilities</t>
  </si>
  <si>
    <t>00QF000000LnA9t</t>
  </si>
  <si>
    <t>Avis Budget Group</t>
  </si>
  <si>
    <t>Southeast Regional Director of Corporate Design &amp; Construction</t>
  </si>
  <si>
    <t>00QF000000LnA9v</t>
  </si>
  <si>
    <t>Sony Electronics</t>
  </si>
  <si>
    <t>Mungovan</t>
  </si>
  <si>
    <t>Sr. Facilities Manager</t>
  </si>
  <si>
    <t>00QF000000LnA9w</t>
  </si>
  <si>
    <t>Kadell</t>
  </si>
  <si>
    <t>Director Facilities and Energy Engineering</t>
  </si>
  <si>
    <t>00QF000000LnAA6</t>
  </si>
  <si>
    <t>Diesel SpA</t>
  </si>
  <si>
    <t>Marina</t>
  </si>
  <si>
    <t>Tosin</t>
  </si>
  <si>
    <t>Managing Director</t>
  </si>
  <si>
    <t>00QF000000LnAA7</t>
  </si>
  <si>
    <t>Foot Locker</t>
  </si>
  <si>
    <t>Jancaj</t>
  </si>
  <si>
    <t>Construction Coordinator</t>
  </si>
  <si>
    <t>00QF000000LnAAB</t>
  </si>
  <si>
    <t>Ascena Retail Group (Dress Barn, Maurices, Justice)</t>
  </si>
  <si>
    <t>Sosnovy</t>
  </si>
  <si>
    <t>VP of Real Estate Development</t>
  </si>
  <si>
    <t>00QF000000LnAAE</t>
  </si>
  <si>
    <t>Sid</t>
  </si>
  <si>
    <t>Shetty</t>
  </si>
  <si>
    <t>00QF000000LnAAG</t>
  </si>
  <si>
    <t>Trans World Entertainment</t>
  </si>
  <si>
    <t>Honeyman</t>
  </si>
  <si>
    <t>00QF000000LnAAH</t>
  </si>
  <si>
    <t>Associated Materials</t>
  </si>
  <si>
    <t>00QF000000LnAAM</t>
  </si>
  <si>
    <t>Kenton</t>
  </si>
  <si>
    <t>Girard</t>
  </si>
  <si>
    <t>Director, Construction</t>
  </si>
  <si>
    <t>00QF000000LnAAW</t>
  </si>
  <si>
    <t>Hobby Lobby</t>
  </si>
  <si>
    <t>Barley</t>
  </si>
  <si>
    <t>Design and Development Manager</t>
  </si>
  <si>
    <t>00QF000000LnAAY</t>
  </si>
  <si>
    <t>The Bon-Ton Stores</t>
  </si>
  <si>
    <t>Bevan</t>
  </si>
  <si>
    <t>Facilities Planning Manager</t>
  </si>
  <si>
    <t>00QF000000LnAAj</t>
  </si>
  <si>
    <t>PEP Boys</t>
  </si>
  <si>
    <t>Donaldson</t>
  </si>
  <si>
    <t>Facilties Manager</t>
  </si>
  <si>
    <t>00QF000000LnAAn</t>
  </si>
  <si>
    <t>AAMCO Transmissions Inc</t>
  </si>
  <si>
    <t>O'Donnell</t>
  </si>
  <si>
    <t>Senior VP Operations</t>
  </si>
  <si>
    <t>00QF000000LnAAo</t>
  </si>
  <si>
    <t>Goody's</t>
  </si>
  <si>
    <t>Odom</t>
  </si>
  <si>
    <t>Director of Store Facilties</t>
  </si>
  <si>
    <t>00QF000000LnAAu</t>
  </si>
  <si>
    <t>00QF000000LnAAv</t>
  </si>
  <si>
    <t>Stan</t>
  </si>
  <si>
    <t>Schmidt</t>
  </si>
  <si>
    <t>00QF000000LnAAz</t>
  </si>
  <si>
    <t>Zales Jewelers</t>
  </si>
  <si>
    <t>Klaus</t>
  </si>
  <si>
    <t>Operations Manager/ Shared Servicse</t>
  </si>
  <si>
    <t>00QF000000LnAB1</t>
  </si>
  <si>
    <t>Charming Charlie</t>
  </si>
  <si>
    <t>Blood</t>
  </si>
  <si>
    <t>Director of Design, Construction, and Facilities</t>
  </si>
  <si>
    <t>00QF000000LnAB3</t>
  </si>
  <si>
    <t>Eye Care Centers of America</t>
  </si>
  <si>
    <t>Bartling</t>
  </si>
  <si>
    <t>00QF000000LnAB4</t>
  </si>
  <si>
    <t>Neiman Marcus</t>
  </si>
  <si>
    <t>Ignaz</t>
  </si>
  <si>
    <t>Gorischek</t>
  </si>
  <si>
    <t>Senior VP, Development</t>
  </si>
  <si>
    <t>00QF000000LnAB7</t>
  </si>
  <si>
    <t>Gus</t>
  </si>
  <si>
    <t>Vice President Facility/Maintenance</t>
  </si>
  <si>
    <t>00QF000000LnAB9</t>
  </si>
  <si>
    <t>United Fashions of Texas</t>
  </si>
  <si>
    <t>Huebner</t>
  </si>
  <si>
    <t>00QF000000LnABB</t>
  </si>
  <si>
    <t>Cash America International</t>
  </si>
  <si>
    <t>Cullum</t>
  </si>
  <si>
    <t>VP, Retail Development</t>
  </si>
  <si>
    <t>00QF000000LnABC</t>
  </si>
  <si>
    <t>Roomstore</t>
  </si>
  <si>
    <t>Dobbins</t>
  </si>
  <si>
    <t>System Administrator</t>
  </si>
  <si>
    <t>00QF000000LnABJ</t>
  </si>
  <si>
    <t>Rodgers</t>
  </si>
  <si>
    <t>Vice President, Store Design &amp; Construction</t>
  </si>
  <si>
    <t>00QF000000LnABL</t>
  </si>
  <si>
    <t>CORT Furniture</t>
  </si>
  <si>
    <t>Beeman</t>
  </si>
  <si>
    <t>Director, Construction Purchasing</t>
  </si>
  <si>
    <t>00QF000000LnABM</t>
  </si>
  <si>
    <t>Nordstrom</t>
  </si>
  <si>
    <t>Wier</t>
  </si>
  <si>
    <t>Facilities Representative</t>
  </si>
  <si>
    <t>00QF000000LnABN</t>
  </si>
  <si>
    <t>Proctor</t>
  </si>
  <si>
    <t>Sr. Manager Facility Operations</t>
  </si>
  <si>
    <t>00QF000000LnABP</t>
  </si>
  <si>
    <t>Ashley Furniture</t>
  </si>
  <si>
    <t>Henderson</t>
  </si>
  <si>
    <t>Director of Maintenance</t>
  </si>
  <si>
    <t>00QF000000LnABQ</t>
  </si>
  <si>
    <t>American Girl</t>
  </si>
  <si>
    <t>Wendy</t>
  </si>
  <si>
    <t>Hull</t>
  </si>
  <si>
    <t>00QF000000LnABT</t>
  </si>
  <si>
    <t>Lush Cosmetics</t>
  </si>
  <si>
    <t>Gerrie</t>
  </si>
  <si>
    <t>00QF000000LnABY</t>
  </si>
  <si>
    <t>The Men's Wearhouse</t>
  </si>
  <si>
    <t>Karona</t>
  </si>
  <si>
    <t>00QF000000LnABa</t>
  </si>
  <si>
    <t>Barnes &amp; Noble</t>
  </si>
  <si>
    <t>Wimmer</t>
  </si>
  <si>
    <t>Development Director</t>
  </si>
  <si>
    <t>00QF000000LnABb</t>
  </si>
  <si>
    <t>Vice President Architecture &amp; Construction</t>
  </si>
  <si>
    <t>00QF000000LnABd</t>
  </si>
  <si>
    <t>Brent</t>
  </si>
  <si>
    <t>Saul</t>
  </si>
  <si>
    <t>00QF000000LnABe</t>
  </si>
  <si>
    <t>Wet Seal</t>
  </si>
  <si>
    <t>Kelch</t>
  </si>
  <si>
    <t>Director Store Planning/Construction</t>
  </si>
  <si>
    <t>00QF000000LnABf</t>
  </si>
  <si>
    <t>Randall's Food &amp; Drugs</t>
  </si>
  <si>
    <t>00QF000000LnALu</t>
  </si>
  <si>
    <t>United Supermarkets</t>
  </si>
  <si>
    <t>Pellock</t>
  </si>
  <si>
    <t>Director, Facilities, Development, and Construction</t>
  </si>
  <si>
    <t>00QF000000LnAMA</t>
  </si>
  <si>
    <t>Marline</t>
  </si>
  <si>
    <t>Rickmann</t>
  </si>
  <si>
    <t>Dept. Coordinator</t>
  </si>
  <si>
    <t>00QF000000LnAMG</t>
  </si>
  <si>
    <t>Emily</t>
  </si>
  <si>
    <t>Director Public Relations</t>
  </si>
  <si>
    <t>00QF000000LnAMV</t>
  </si>
  <si>
    <t>Gatturna</t>
  </si>
  <si>
    <t>00QF000000LnAMn</t>
  </si>
  <si>
    <t>Perkins Restaurant and Bakery</t>
  </si>
  <si>
    <t>Dany</t>
  </si>
  <si>
    <t>Karp</t>
  </si>
  <si>
    <t>Senior Design Associate</t>
  </si>
  <si>
    <t>00QF000000LnAMp</t>
  </si>
  <si>
    <t>Kopaczewski</t>
  </si>
  <si>
    <t>Construction Purchasing Manager</t>
  </si>
  <si>
    <t>00QF000000LnAMr</t>
  </si>
  <si>
    <t>Talbots</t>
  </si>
  <si>
    <t>Lorrie</t>
  </si>
  <si>
    <t>Witt</t>
  </si>
  <si>
    <t>Manager of Operations</t>
  </si>
  <si>
    <t>00QF000000LnAMx</t>
  </si>
  <si>
    <t>Sr. Director of Construction</t>
  </si>
  <si>
    <t>00QF000000LnANS</t>
  </si>
  <si>
    <t>Winebrenner</t>
  </si>
  <si>
    <t>Director of Store Construction</t>
  </si>
  <si>
    <t>00QF000000LnANW</t>
  </si>
  <si>
    <t>Caldwell</t>
  </si>
  <si>
    <t>Procurement Manager Equipment and Services</t>
  </si>
  <si>
    <t>00QF000000LnAON</t>
  </si>
  <si>
    <t>Bealls</t>
  </si>
  <si>
    <t>Karl</t>
  </si>
  <si>
    <t>Berven</t>
  </si>
  <si>
    <t>Director, Corporate Services, Maint., Energy</t>
  </si>
  <si>
    <t>00QF000000LnAOd</t>
  </si>
  <si>
    <t>Tijuana Flats Burrito Co.</t>
  </si>
  <si>
    <t>Director, Construction &amp; Facilities</t>
  </si>
  <si>
    <t>00QF000000LnAOq</t>
  </si>
  <si>
    <t>Anna's Linens</t>
  </si>
  <si>
    <t>Pete</t>
  </si>
  <si>
    <t>Weiland</t>
  </si>
  <si>
    <t>00QF000000LnAOv</t>
  </si>
  <si>
    <t>Molyneux</t>
  </si>
  <si>
    <t>Manager of Operations Facilities Maintenance</t>
  </si>
  <si>
    <t>00QF000000LnAOy</t>
  </si>
  <si>
    <t>Jagneaux</t>
  </si>
  <si>
    <t>Director of Construction at Dollar General</t>
  </si>
  <si>
    <t>00QF000000LnDGN</t>
  </si>
  <si>
    <t>Gander Mountain</t>
  </si>
  <si>
    <t>Sasone</t>
  </si>
  <si>
    <t>00QF000000LnF4i</t>
  </si>
  <si>
    <t>Curran</t>
  </si>
  <si>
    <t>Project Manager, Store Planning at Talbots</t>
  </si>
  <si>
    <t>00QF000000LnFiY</t>
  </si>
  <si>
    <t>Howard</t>
  </si>
  <si>
    <t>Regional Maintenance Manager at AutoZone</t>
  </si>
  <si>
    <t>00QF000000LnFid</t>
  </si>
  <si>
    <t>Aerosoles</t>
  </si>
  <si>
    <t>Tarell</t>
  </si>
  <si>
    <t>Hannah</t>
  </si>
  <si>
    <t>Corporate &amp; Retail Facilities Manager at Aerosoles</t>
  </si>
  <si>
    <t>00QF000000LnFj2</t>
  </si>
  <si>
    <t>Stein Mart</t>
  </si>
  <si>
    <t>Griffin</t>
  </si>
  <si>
    <t>Store Planning Manager at Stein Mart</t>
  </si>
  <si>
    <t>00QF000000LnFjl</t>
  </si>
  <si>
    <t>Billing</t>
  </si>
  <si>
    <t>Engineering Manager at Abercrombie &amp; Fitch</t>
  </si>
  <si>
    <t>00QF000000LnFjv</t>
  </si>
  <si>
    <t>Cedar Enterprises</t>
  </si>
  <si>
    <t>Boothby</t>
  </si>
  <si>
    <t>VP of Engineering and Development at Cedar Enterprises</t>
  </si>
  <si>
    <t>00QF000000LnHH8</t>
  </si>
  <si>
    <t>Taylor</t>
  </si>
  <si>
    <t>00QF000000LnHHD</t>
  </si>
  <si>
    <t>Gouvion</t>
  </si>
  <si>
    <t>Sr Construction Manager at Dollar General</t>
  </si>
  <si>
    <t>00QF000000LnRaR</t>
  </si>
  <si>
    <t>Dixon</t>
  </si>
  <si>
    <t>New Store/Remodel Coordinator at Kohl's Department Stores</t>
  </si>
  <si>
    <t>00QF000000LnRbd</t>
  </si>
  <si>
    <t>Fleming</t>
  </si>
  <si>
    <t>Manager, Construction Services at Rite Aid</t>
  </si>
  <si>
    <t>00QF000000LnRcH</t>
  </si>
  <si>
    <t>Heisey</t>
  </si>
  <si>
    <t>Manager, Store Planning and Design at Charming Shoppes, Inc.</t>
  </si>
  <si>
    <t>00QF000000LnRed</t>
  </si>
  <si>
    <t>TUMI</t>
  </si>
  <si>
    <t>Capella</t>
  </si>
  <si>
    <t>Director of Store Planning and Construction at TUMI</t>
  </si>
  <si>
    <t>00QF000000LnRgE</t>
  </si>
  <si>
    <t>Frances</t>
  </si>
  <si>
    <t>Pionegro</t>
  </si>
  <si>
    <t>Director, Real Estate, Facilities &amp; Construction</t>
  </si>
  <si>
    <t>00QF000000Lnf0X</t>
  </si>
  <si>
    <t>Fraser</t>
  </si>
  <si>
    <t>Manager of Procurement at Kohl's Department Stores</t>
  </si>
  <si>
    <t>00QF000000Lnf1y</t>
  </si>
  <si>
    <t>Carel</t>
  </si>
  <si>
    <t>Store Planning Project Manager at JCPenney</t>
  </si>
  <si>
    <t>00QF000000Lnf36</t>
  </si>
  <si>
    <t>Kinney Drugs</t>
  </si>
  <si>
    <t>Fenlong</t>
  </si>
  <si>
    <t>Store Design Coordinator at Kinney Drugs, Inc.</t>
  </si>
  <si>
    <t>00QF000000Lnf3Q</t>
  </si>
  <si>
    <t>The Great Atlantic &amp; Pacific Tea Company (A&amp;P)</t>
  </si>
  <si>
    <t>Gina</t>
  </si>
  <si>
    <t>Lambert</t>
  </si>
  <si>
    <t>Maintenance Manager at The Great Atlantic &amp; Pacific Tea Company</t>
  </si>
  <si>
    <t>00QF000000LnraY</t>
  </si>
  <si>
    <t>Earth Fare</t>
  </si>
  <si>
    <t>Jenny</t>
  </si>
  <si>
    <t>Frye</t>
  </si>
  <si>
    <t>Operation Support Manager</t>
  </si>
  <si>
    <t>00QF000000LnwOB</t>
  </si>
  <si>
    <t>Goode Company Rest</t>
  </si>
  <si>
    <t>Pizzitola</t>
  </si>
  <si>
    <t>Facilities Professional and Disaster Recovery Professional</t>
  </si>
  <si>
    <t>00QF000000Lo0CA</t>
  </si>
  <si>
    <t>Bashar</t>
  </si>
  <si>
    <t>Ayoub</t>
  </si>
  <si>
    <t>Senior Manager of Store Design &amp; Construction</t>
  </si>
  <si>
    <t>00QF000000Lo0DD</t>
  </si>
  <si>
    <t>00QF000000Lo0Dc</t>
  </si>
  <si>
    <t>Mathews</t>
  </si>
  <si>
    <t>Region Manager of Facilities</t>
  </si>
  <si>
    <t>00QF000000Lo0Fi</t>
  </si>
  <si>
    <t>Blais</t>
  </si>
  <si>
    <t>Store Director</t>
  </si>
  <si>
    <t>00QF000000Lo5GW</t>
  </si>
  <si>
    <t>McNertney</t>
  </si>
  <si>
    <t>Sr. Director of Facilities, Building and Campus Services at Darden</t>
  </si>
  <si>
    <t>00QF000000LoBGQ</t>
  </si>
  <si>
    <t>Walton</t>
  </si>
  <si>
    <t>00QF000000LoBGR</t>
  </si>
  <si>
    <t>Gomolla</t>
  </si>
  <si>
    <t>East Coast Regional Facilities Manager at Red Robin Gourmet Burgers, Inc</t>
  </si>
  <si>
    <t>00QF000000LoBGS</t>
  </si>
  <si>
    <t>Doris</t>
  </si>
  <si>
    <t>Regional Facilities Manager at Darden Restaurants</t>
  </si>
  <si>
    <t>00QF000000LoBGT</t>
  </si>
  <si>
    <t>Nikki</t>
  </si>
  <si>
    <t>Hale</t>
  </si>
  <si>
    <t>Facility Manager at Darden Restaurants,</t>
  </si>
  <si>
    <t>00QF000000LoBGU</t>
  </si>
  <si>
    <t>Simonson</t>
  </si>
  <si>
    <t>Facilities Manager at Darden Restaurants,</t>
  </si>
  <si>
    <t>00QF000000LoBGV</t>
  </si>
  <si>
    <t>Suss</t>
  </si>
  <si>
    <t>Manager, Commodities &amp; Energy Procurement</t>
  </si>
  <si>
    <t>00QF000000LoBGW</t>
  </si>
  <si>
    <t>Edmond</t>
  </si>
  <si>
    <t>Bordelon</t>
  </si>
  <si>
    <t>Director of Facilities at Darden Restaurants</t>
  </si>
  <si>
    <t>00QF000000LoBGX</t>
  </si>
  <si>
    <t>Shannon</t>
  </si>
  <si>
    <t>Rogner</t>
  </si>
  <si>
    <t>Director of Facilities, Olive Garden</t>
  </si>
  <si>
    <t>00QF000000LoBGY</t>
  </si>
  <si>
    <t>Dickey's Barbeque Pit</t>
  </si>
  <si>
    <t>Jerrel</t>
  </si>
  <si>
    <t>Denton</t>
  </si>
  <si>
    <t>Director of Business Development, Franchise Sales</t>
  </si>
  <si>
    <t>00QF000000LoBGa</t>
  </si>
  <si>
    <t>Sebazco</t>
  </si>
  <si>
    <t>Director, Operations</t>
  </si>
  <si>
    <t>00QF000000LoBGr</t>
  </si>
  <si>
    <t>Schall</t>
  </si>
  <si>
    <t>Vice President, Engineering</t>
  </si>
  <si>
    <t>00QF000000LoBGu</t>
  </si>
  <si>
    <t>Silverstein</t>
  </si>
  <si>
    <t>Director of Store Design</t>
  </si>
  <si>
    <t>00QF000000LoBHJ</t>
  </si>
  <si>
    <t>Laurie</t>
  </si>
  <si>
    <t>Rohen</t>
  </si>
  <si>
    <t>Mgr Store Facilities</t>
  </si>
  <si>
    <t>00QF000000LoBHN</t>
  </si>
  <si>
    <t>Dick's Sporting Goods, Inc.</t>
  </si>
  <si>
    <t>Blatz</t>
  </si>
  <si>
    <t>Director of Facilities and Construction</t>
  </si>
  <si>
    <t>00QF000000LoBHR</t>
  </si>
  <si>
    <t>Wolkerstorfer</t>
  </si>
  <si>
    <t>Manager, Retail Operations</t>
  </si>
  <si>
    <t>00QF000000LoBHT</t>
  </si>
  <si>
    <t>Michelle</t>
  </si>
  <si>
    <t>Hirst</t>
  </si>
  <si>
    <t>00QF000000LoBHV</t>
  </si>
  <si>
    <t>Sergeant</t>
  </si>
  <si>
    <t>Project Manager, Energy</t>
  </si>
  <si>
    <t>00QF000000LoBHW</t>
  </si>
  <si>
    <t>Keller</t>
  </si>
  <si>
    <t>Director, Energy Management &amp; Engineering Services</t>
  </si>
  <si>
    <t>00QF000000LoBHX</t>
  </si>
  <si>
    <t>Culver</t>
  </si>
  <si>
    <t>00QF000000LoBHY</t>
  </si>
  <si>
    <t>Swiontek</t>
  </si>
  <si>
    <t>00QF000000LoBHZ</t>
  </si>
  <si>
    <t>Lois</t>
  </si>
  <si>
    <t>Butler</t>
  </si>
  <si>
    <t>Director and Associate</t>
  </si>
  <si>
    <t>00QF000000LoBHa</t>
  </si>
  <si>
    <t>Brekke</t>
  </si>
  <si>
    <t>Director, Facilties &amp; Energy</t>
  </si>
  <si>
    <t>00QF000000LoBHb</t>
  </si>
  <si>
    <t>Kermit</t>
  </si>
  <si>
    <t>Richards</t>
  </si>
  <si>
    <t>Corporate Energy Manager Property Management</t>
  </si>
  <si>
    <t>00QF000000LoBHc</t>
  </si>
  <si>
    <t>Rosenholtz</t>
  </si>
  <si>
    <t>Sr. Manager-Capital Projects</t>
  </si>
  <si>
    <t>00QF000000LoBHd</t>
  </si>
  <si>
    <t>Leslie</t>
  </si>
  <si>
    <t>Duff-Gray</t>
  </si>
  <si>
    <t>Director - Maintenance</t>
  </si>
  <si>
    <t>00QF000000LoBHe</t>
  </si>
  <si>
    <t>Jo</t>
  </si>
  <si>
    <t>Matar</t>
  </si>
  <si>
    <t>Capital Projects Coordinator</t>
  </si>
  <si>
    <t>00QF000000LoBHf</t>
  </si>
  <si>
    <t>Brewster</t>
  </si>
  <si>
    <t>Project Design Manager-New Stores</t>
  </si>
  <si>
    <t>00QF000000LoBHg</t>
  </si>
  <si>
    <t>00QF000000LoBHh</t>
  </si>
  <si>
    <t>Chet</t>
  </si>
  <si>
    <t>Bush</t>
  </si>
  <si>
    <t>Sr. Sourcing Analyst Strategic Sourcing Group</t>
  </si>
  <si>
    <t>00QF000000LoBHi</t>
  </si>
  <si>
    <t>Baumann</t>
  </si>
  <si>
    <t>Director of Field Facilities</t>
  </si>
  <si>
    <t>00QF000000LoBHj</t>
  </si>
  <si>
    <t>Paige</t>
  </si>
  <si>
    <t>Corporate Energy Manager</t>
  </si>
  <si>
    <t>00QF000000LoBHm</t>
  </si>
  <si>
    <t>Shopko</t>
  </si>
  <si>
    <t>VandeHei</t>
  </si>
  <si>
    <t>00QF000000LoBHn</t>
  </si>
  <si>
    <t>Morris</t>
  </si>
  <si>
    <t>00QF000000LoBHo</t>
  </si>
  <si>
    <t>Christopher</t>
  </si>
  <si>
    <t>Director of Facilities Manintence and Purchsing</t>
  </si>
  <si>
    <t>00QF000000LoBHp</t>
  </si>
  <si>
    <t>Baker</t>
  </si>
  <si>
    <t>00QF000000LoBHs</t>
  </si>
  <si>
    <t>Kristen</t>
  </si>
  <si>
    <t>Hata</t>
  </si>
  <si>
    <t>00QF000000LoBHu</t>
  </si>
  <si>
    <t>Director of Energy Management</t>
  </si>
  <si>
    <t>00QF000000LoBHv</t>
  </si>
  <si>
    <t>Kitchens</t>
  </si>
  <si>
    <t>Director, Facility Design</t>
  </si>
  <si>
    <t>00QF000000LoBIG</t>
  </si>
  <si>
    <t>Paris</t>
  </si>
  <si>
    <t>00QF000000LoBIH</t>
  </si>
  <si>
    <t>Osborne</t>
  </si>
  <si>
    <t>Director Facility Services</t>
  </si>
  <si>
    <t>00QF000000LoBII</t>
  </si>
  <si>
    <t>Newman</t>
  </si>
  <si>
    <t>00QF000000LoBIJ</t>
  </si>
  <si>
    <t>Larson</t>
  </si>
  <si>
    <t>Director of Intrastructure</t>
  </si>
  <si>
    <t>00QF000000LoBIK</t>
  </si>
  <si>
    <t>Clarke</t>
  </si>
  <si>
    <t>Freed</t>
  </si>
  <si>
    <t>Director Facilities Purchasing</t>
  </si>
  <si>
    <t>00QF000000LoBIL</t>
  </si>
  <si>
    <t>Bennie</t>
  </si>
  <si>
    <t>00QF000000LoBIM</t>
  </si>
  <si>
    <t>Refrigeration/Energy Program Manager</t>
  </si>
  <si>
    <t>00QF000000LoBIN</t>
  </si>
  <si>
    <t>Long</t>
  </si>
  <si>
    <t>Energy Program Specialist</t>
  </si>
  <si>
    <t>00QF000000LoBIO</t>
  </si>
  <si>
    <t>Breller</t>
  </si>
  <si>
    <t>Store Planning, Design, Project Management, and Retail Operations Professional</t>
  </si>
  <si>
    <t>00QF000000LoBIP</t>
  </si>
  <si>
    <t>Matthews</t>
  </si>
  <si>
    <t>Projects Manager for Facilities at Publix</t>
  </si>
  <si>
    <t>00QF000000LoBIQ</t>
  </si>
  <si>
    <t>Jenkins</t>
  </si>
  <si>
    <t>00QF000000LoBIU</t>
  </si>
  <si>
    <t>Tavano</t>
  </si>
  <si>
    <t>Director of Contracting</t>
  </si>
  <si>
    <t>00QF000000LoBIj</t>
  </si>
  <si>
    <t>Corporate Energy Programs Manager</t>
  </si>
  <si>
    <t>00QF000000LoBIk</t>
  </si>
  <si>
    <t>00QF000000LoBIn</t>
  </si>
  <si>
    <t>McKay</t>
  </si>
  <si>
    <t>00QF000000LoBIo</t>
  </si>
  <si>
    <t>Goldberg</t>
  </si>
  <si>
    <t>Vice President, Procurement &amp; Facilities</t>
  </si>
  <si>
    <t>00QF000000LoBIp</t>
  </si>
  <si>
    <t>Canigilla</t>
  </si>
  <si>
    <t>00QF000000LoBIs</t>
  </si>
  <si>
    <t>Senior Director - Operations</t>
  </si>
  <si>
    <t>00QF000000LoBIt</t>
  </si>
  <si>
    <t>Shinners</t>
  </si>
  <si>
    <t>Director-Property Management</t>
  </si>
  <si>
    <t>00QF000000LoBIu</t>
  </si>
  <si>
    <t>Sherry</t>
  </si>
  <si>
    <t>Narciza</t>
  </si>
  <si>
    <t>New Store Set Up Supervisor</t>
  </si>
  <si>
    <t>00QF000000LoBIv</t>
  </si>
  <si>
    <t>Maletz</t>
  </si>
  <si>
    <t>00QF000000LoBIw</t>
  </si>
  <si>
    <t>Owen</t>
  </si>
  <si>
    <t>Energy Manager, Energy Programs &amp; Equipment Capital E</t>
  </si>
  <si>
    <t>00QF000000LoBJ4</t>
  </si>
  <si>
    <t>Altemose</t>
  </si>
  <si>
    <t>00QF000000LoBJ6</t>
  </si>
  <si>
    <t>Susanne</t>
  </si>
  <si>
    <t>00QF000000LoBJ7</t>
  </si>
  <si>
    <t>Jeanne</t>
  </si>
  <si>
    <t>Lorg</t>
  </si>
  <si>
    <t>Facility Maintenance Manager</t>
  </si>
  <si>
    <t>00QF000000LoBJB</t>
  </si>
  <si>
    <t>Weese</t>
  </si>
  <si>
    <t>President and COO, Retail Services</t>
  </si>
  <si>
    <t>00QF000000LoBJC</t>
  </si>
  <si>
    <t>Buddy</t>
  </si>
  <si>
    <t>Singletary</t>
  </si>
  <si>
    <t>00QF000000LoBJD</t>
  </si>
  <si>
    <t>Brookshire Grocery</t>
  </si>
  <si>
    <t>Jay</t>
  </si>
  <si>
    <t>Hunter</t>
  </si>
  <si>
    <t>00QF000000LoBKV</t>
  </si>
  <si>
    <t>Conn's</t>
  </si>
  <si>
    <t>Byron</t>
  </si>
  <si>
    <t>VP Risk Management</t>
  </si>
  <si>
    <t>00QF000000LoBKW</t>
  </si>
  <si>
    <t>Energy Senior Manager</t>
  </si>
  <si>
    <t>00QF000000LoBKh</t>
  </si>
  <si>
    <t>Rakesh</t>
  </si>
  <si>
    <t>Swaroop</t>
  </si>
  <si>
    <t>Sourcing Sr Specialist</t>
  </si>
  <si>
    <t>00QF000000LoBKi</t>
  </si>
  <si>
    <t>00QF000000LoBKq</t>
  </si>
  <si>
    <t>B&amp;G Food Enterprises</t>
  </si>
  <si>
    <t>Gegenheimer</t>
  </si>
  <si>
    <t>00QF000000LoDL4</t>
  </si>
  <si>
    <t>Endom</t>
  </si>
  <si>
    <t>Vice President Real Estate, Construction and Facilities</t>
  </si>
  <si>
    <t>00QF000000LoDLC</t>
  </si>
  <si>
    <t>Vice President Facilities</t>
  </si>
  <si>
    <t>00QF000000LoDLD</t>
  </si>
  <si>
    <t>Fojut</t>
  </si>
  <si>
    <t>00QF000000LoDLE</t>
  </si>
  <si>
    <t>Keli</t>
  </si>
  <si>
    <t>Stosich</t>
  </si>
  <si>
    <t>Energy Manager and Facilities Analyst</t>
  </si>
  <si>
    <t>00QF000000LoDLF</t>
  </si>
  <si>
    <t>Teresa</t>
  </si>
  <si>
    <t>Vice President Procurement, Energy, Maintenance</t>
  </si>
  <si>
    <t>00QF000000LoDLG</t>
  </si>
  <si>
    <t>00QF000000LoDLN</t>
  </si>
  <si>
    <t>Bloomingdale's</t>
  </si>
  <si>
    <t>Jose</t>
  </si>
  <si>
    <t>Herrero</t>
  </si>
  <si>
    <t>00QF000000LoDLY</t>
  </si>
  <si>
    <t>Menard</t>
  </si>
  <si>
    <t>00QF000000LoDLZ</t>
  </si>
  <si>
    <t>Navy Exchange Service Command</t>
  </si>
  <si>
    <t>Lavoie</t>
  </si>
  <si>
    <t>00QF000000LoDLa</t>
  </si>
  <si>
    <t>Noland Company</t>
  </si>
  <si>
    <t>Vice President of Facilities of Noland Properties Inc.</t>
  </si>
  <si>
    <t>00QF000000LoDLb</t>
  </si>
  <si>
    <t>Rooms To Go</t>
  </si>
  <si>
    <t>Burns</t>
  </si>
  <si>
    <t>00QF000000LoDLc</t>
  </si>
  <si>
    <t>SYSCO</t>
  </si>
  <si>
    <t>Watson</t>
  </si>
  <si>
    <t>Vice President, Quality Assurance and Agricultural Sustainability</t>
  </si>
  <si>
    <t>00QF000000LoDLh</t>
  </si>
  <si>
    <t>Vice President of Facilities Design and Development</t>
  </si>
  <si>
    <t>00QF000000LoDLj</t>
  </si>
  <si>
    <t>Perez</t>
  </si>
  <si>
    <t>00QF000000LoDMA</t>
  </si>
  <si>
    <t>00QF000000LoDMG</t>
  </si>
  <si>
    <t>Gualdoni</t>
  </si>
  <si>
    <t>VP Business Development, Strategic Planning</t>
  </si>
  <si>
    <t>00QF000000LoDMR</t>
  </si>
  <si>
    <t>Houchens Industries Inc.</t>
  </si>
  <si>
    <t>Director Real Estate, Store Development</t>
  </si>
  <si>
    <t>00QF000000LoDMZ</t>
  </si>
  <si>
    <t>Manager Facility/Maintenance, Construction</t>
  </si>
  <si>
    <t>00QF000000LoDMc</t>
  </si>
  <si>
    <t>Hibbett Sports</t>
  </si>
  <si>
    <t>Nichols</t>
  </si>
  <si>
    <t>00QF000000Loykj</t>
  </si>
  <si>
    <t>Director of Architecture &amp; Design Store Development</t>
  </si>
  <si>
    <t>00QF000000Loykk</t>
  </si>
  <si>
    <t>Brewer</t>
  </si>
  <si>
    <t>00QF000000Loykl</t>
  </si>
  <si>
    <t>Kowal</t>
  </si>
  <si>
    <t>VP Construction and Property Management</t>
  </si>
  <si>
    <t>00QF000000Loykm</t>
  </si>
  <si>
    <t>Nelson</t>
  </si>
  <si>
    <t>00QF000000Loykn</t>
  </si>
  <si>
    <t>CompUSA</t>
  </si>
  <si>
    <t>PE</t>
  </si>
  <si>
    <t>Dan Turner</t>
  </si>
  <si>
    <t>00QF000000Loyko</t>
  </si>
  <si>
    <t>Swell</t>
  </si>
  <si>
    <t>00QF000000Loykp</t>
  </si>
  <si>
    <t>Nathan</t>
  </si>
  <si>
    <t>Leefer</t>
  </si>
  <si>
    <t>00QF000000Loykq</t>
  </si>
  <si>
    <t>Lewers</t>
  </si>
  <si>
    <t>00QF000000Loykr</t>
  </si>
  <si>
    <t>Principal</t>
  </si>
  <si>
    <t>00QF000000Loyks</t>
  </si>
  <si>
    <t>Romberger</t>
  </si>
  <si>
    <t>00QF000000Loykt</t>
  </si>
  <si>
    <t>The Container Store</t>
  </si>
  <si>
    <t>Glen</t>
  </si>
  <si>
    <t>Jimenez</t>
  </si>
  <si>
    <t>Store Facilties Manager</t>
  </si>
  <si>
    <t>00QF000000Loyku</t>
  </si>
  <si>
    <t>Tractor Supply</t>
  </si>
  <si>
    <t>Hutchins</t>
  </si>
  <si>
    <t>00QF000000Loykv</t>
  </si>
  <si>
    <t>Manager, Store Administration &amp; Services</t>
  </si>
  <si>
    <t>00QF000000Loykw</t>
  </si>
  <si>
    <t>Bi-LO</t>
  </si>
  <si>
    <t>Senior Director of Store Operations Support</t>
  </si>
  <si>
    <t>00QF000000Loykz</t>
  </si>
  <si>
    <t>Nancy</t>
  </si>
  <si>
    <t>Energy Technical Coordinator at BI-LO LLC</t>
  </si>
  <si>
    <t>00QF000000Loyl0</t>
  </si>
  <si>
    <t>Anthea</t>
  </si>
  <si>
    <t>Senior Vice President of Store Operations</t>
  </si>
  <si>
    <t>00QF000000Loyl1</t>
  </si>
  <si>
    <t>Scales</t>
  </si>
  <si>
    <t>District Director at BI-LO, LLC</t>
  </si>
  <si>
    <t>00QF000000Loyl2</t>
  </si>
  <si>
    <t>Brandon</t>
  </si>
  <si>
    <t>Major</t>
  </si>
  <si>
    <t>Speical Projects at BI-LO, LLC</t>
  </si>
  <si>
    <t>00QF000000Loyl3</t>
  </si>
  <si>
    <t>Symons</t>
  </si>
  <si>
    <t>ExecutiveVice President Operation</t>
  </si>
  <si>
    <t>00QF000000Loyl4</t>
  </si>
  <si>
    <t>Gibson</t>
  </si>
  <si>
    <t>Director Maintenance Services &amp; Energy at BI-LO, LLC</t>
  </si>
  <si>
    <t>00QF000000Loyl5</t>
  </si>
  <si>
    <t>Chambers</t>
  </si>
  <si>
    <t>Vice President of Real Estate</t>
  </si>
  <si>
    <t>00QF000000Loyl6</t>
  </si>
  <si>
    <t>Vice President Engineering</t>
  </si>
  <si>
    <t>00QF000000LoylA</t>
  </si>
  <si>
    <t>Henriott</t>
  </si>
  <si>
    <t>Director-Real Estate</t>
  </si>
  <si>
    <t>00QF000000LoylB</t>
  </si>
  <si>
    <t>Vice President - Real Estate</t>
  </si>
  <si>
    <t>00QF000000LoylC</t>
  </si>
  <si>
    <t>Vice President, Design and Construction</t>
  </si>
  <si>
    <t>00QF000000LoylD</t>
  </si>
  <si>
    <t>Chrissi</t>
  </si>
  <si>
    <t>Patterson</t>
  </si>
  <si>
    <t>Facility Coordinator</t>
  </si>
  <si>
    <t>00QF000000LoylE</t>
  </si>
  <si>
    <t>Treichler</t>
  </si>
  <si>
    <t>Director, Store Construction</t>
  </si>
  <si>
    <t>00QF000000LoylF</t>
  </si>
  <si>
    <t>Tesco</t>
  </si>
  <si>
    <t>Allen Scott</t>
  </si>
  <si>
    <t>Head Retail Operations</t>
  </si>
  <si>
    <t>00QF000000LnAM4</t>
  </si>
  <si>
    <t>Wm Morrison Supermarkets Plc</t>
  </si>
  <si>
    <t>Boreham</t>
  </si>
  <si>
    <t>Group Energy Manager</t>
  </si>
  <si>
    <t>Web</t>
  </si>
  <si>
    <t>00QF000000Lo9vd</t>
  </si>
  <si>
    <t>Cian</t>
  </si>
  <si>
    <t>Hatton</t>
  </si>
  <si>
    <t>00QF000000Lo9wR</t>
  </si>
  <si>
    <t>Boots</t>
  </si>
  <si>
    <t>Jean</t>
  </si>
  <si>
    <t>Waring-Thomas</t>
  </si>
  <si>
    <t>00QF000000LoBvj</t>
  </si>
  <si>
    <t>A&amp;W Food Services of Canada</t>
  </si>
  <si>
    <t>Robert Giblett</t>
  </si>
  <si>
    <t>Manager A&amp;W Design and Construction</t>
  </si>
  <si>
    <t>00QA0000008uL2Q</t>
  </si>
  <si>
    <t>J. Graham</t>
  </si>
  <si>
    <t>Cooke</t>
  </si>
  <si>
    <t>Vice President, New Restaurant Expansion</t>
  </si>
  <si>
    <t>00QA0000008uL2R</t>
  </si>
  <si>
    <t>Cara Operations</t>
  </si>
  <si>
    <t>Cornell</t>
  </si>
  <si>
    <t>Director of Design</t>
  </si>
  <si>
    <t>00QA0000008uL2S</t>
  </si>
  <si>
    <t>Tim Horton's</t>
  </si>
  <si>
    <t>Vince</t>
  </si>
  <si>
    <t>Massarella</t>
  </si>
  <si>
    <t>Senior Director, Development</t>
  </si>
  <si>
    <t>00QA0000008uL2q</t>
  </si>
  <si>
    <t>Hudson`s Bay Company</t>
  </si>
  <si>
    <t>Director, Facilities Maintenance</t>
  </si>
  <si>
    <t>00QA0000008uL37</t>
  </si>
  <si>
    <t>Aldo Group</t>
  </si>
  <si>
    <t>Marc</t>
  </si>
  <si>
    <t>Vaillancourt</t>
  </si>
  <si>
    <t>General Manager</t>
  </si>
  <si>
    <t>00QA0000008uL3B</t>
  </si>
  <si>
    <t>Sobey's</t>
  </si>
  <si>
    <t>Procurement Director - Equipment</t>
  </si>
  <si>
    <t>00QA000000GpANY</t>
  </si>
  <si>
    <t>Metro</t>
  </si>
  <si>
    <t>Senior Director, Planning and Construction</t>
  </si>
  <si>
    <t>00QA000000GpANc</t>
  </si>
  <si>
    <t>Indigo Books &amp; Music</t>
  </si>
  <si>
    <t>Corless</t>
  </si>
  <si>
    <t>Vice President, Construction &amp; Store Planning</t>
  </si>
  <si>
    <t>00QF000000LnA9D</t>
  </si>
  <si>
    <t>Home Hardware Stores</t>
  </si>
  <si>
    <t>Vanderwelle</t>
  </si>
  <si>
    <t>Store Planning Manager</t>
  </si>
  <si>
    <t>00QF000000LnA9x</t>
  </si>
  <si>
    <t>The Bargain! Shop</t>
  </si>
  <si>
    <t>Director Store Opening</t>
  </si>
  <si>
    <t>00QF000000LnAAZ</t>
  </si>
  <si>
    <t>Canadian Tire</t>
  </si>
  <si>
    <t>Barry</t>
  </si>
  <si>
    <t>VP, Design &amp; Construction</t>
  </si>
  <si>
    <t>00QF000000LnAAa</t>
  </si>
  <si>
    <t>Goodlife Fitness Center</t>
  </si>
  <si>
    <t>Dann</t>
  </si>
  <si>
    <t>Sawa</t>
  </si>
  <si>
    <t>00QF000000LnAAb</t>
  </si>
  <si>
    <t>Rona</t>
  </si>
  <si>
    <t>00QF000000LnAAp</t>
  </si>
  <si>
    <t>Weston Foods</t>
  </si>
  <si>
    <t>Marie-Claude</t>
  </si>
  <si>
    <t>Soucy</t>
  </si>
  <si>
    <t>00QF000000LnAJT</t>
  </si>
  <si>
    <t>VP Central Operations</t>
  </si>
  <si>
    <t>00QF000000LnAM2</t>
  </si>
  <si>
    <t>M&amp;M Meat Shops</t>
  </si>
  <si>
    <t>Chalmers</t>
  </si>
  <si>
    <t>Sr. Manager, Construction</t>
  </si>
  <si>
    <t>00QF000000LnAM8</t>
  </si>
  <si>
    <t>The North West Company</t>
  </si>
  <si>
    <t>Burdett</t>
  </si>
  <si>
    <t>00QF000000LnAMU</t>
  </si>
  <si>
    <t>Shoppers Drug Mart</t>
  </si>
  <si>
    <t>Norm</t>
  </si>
  <si>
    <t>Peck</t>
  </si>
  <si>
    <t>Procurement</t>
  </si>
  <si>
    <t>00QF000000LnANv</t>
  </si>
  <si>
    <t>MTY Food Group</t>
  </si>
  <si>
    <t>Ng</t>
  </si>
  <si>
    <t>VP Thai Express</t>
  </si>
  <si>
    <t>00QF000000LnAOI</t>
  </si>
  <si>
    <t>Second Cup</t>
  </si>
  <si>
    <t>Gambell</t>
  </si>
  <si>
    <t>Director Of Construction</t>
  </si>
  <si>
    <t>00QF000000LnAOJ</t>
  </si>
  <si>
    <t>Mader</t>
  </si>
  <si>
    <t>00QF000000LnAOZ</t>
  </si>
  <si>
    <t>Benzacar</t>
  </si>
  <si>
    <t>VP Sushi Shop</t>
  </si>
  <si>
    <t>00QF000000LnAOm</t>
  </si>
  <si>
    <t>Pizza Pizza Limited</t>
  </si>
  <si>
    <t>Methot</t>
  </si>
  <si>
    <t>VP Operations, Purchasing</t>
  </si>
  <si>
    <t>00QF000000LnAPF</t>
  </si>
  <si>
    <t>Tim Horton's (Scudamore &amp; Associates Inc.)</t>
  </si>
  <si>
    <t>Scudamore</t>
  </si>
  <si>
    <t>00QF000000LoBHA</t>
  </si>
  <si>
    <t>Federated Co-operative</t>
  </si>
  <si>
    <t>Gartner</t>
  </si>
  <si>
    <t>Manager Store Development, Real Estate</t>
  </si>
  <si>
    <t>00QF000000LoDMQ</t>
  </si>
  <si>
    <t>The Extreme Pita</t>
  </si>
  <si>
    <t>Director Operations(Canada)</t>
  </si>
  <si>
    <t>00QF000000LoDMd</t>
  </si>
  <si>
    <t>The Katz Group Canada</t>
  </si>
  <si>
    <t>Goldstein</t>
  </si>
  <si>
    <t>Director Construction, Facility/Maintenance</t>
  </si>
  <si>
    <t>00QF000000LoDMe</t>
  </si>
  <si>
    <t>Diane</t>
  </si>
  <si>
    <t>Noble</t>
  </si>
  <si>
    <t>00QF000000NO5Y4</t>
  </si>
  <si>
    <t>Total # Of Companies</t>
  </si>
  <si>
    <t>McDs</t>
  </si>
  <si>
    <t>Blah Blah</t>
  </si>
  <si>
    <t>Ho ho</t>
  </si>
  <si>
    <t>Companies</t>
  </si>
  <si>
    <t>TOTAL # OF COMPANIES</t>
  </si>
  <si>
    <t>Total Prospect Companies</t>
  </si>
  <si>
    <t>% of Total Vertical Open - Not Contacted</t>
  </si>
  <si>
    <t>% of Total Vertical Actively Working</t>
  </si>
  <si>
    <t>% of Total Vertical Nurturing</t>
  </si>
  <si>
    <t>% of Total Vertical Unqualified</t>
  </si>
  <si>
    <t>Steven Startzer</t>
  </si>
  <si>
    <t>Rober Giblett</t>
  </si>
  <si>
    <t>%</t>
  </si>
  <si>
    <t>Unique Vertical</t>
  </si>
  <si>
    <t>Total Unique Co. Count</t>
  </si>
  <si>
    <t>Count of Lead Status</t>
  </si>
  <si>
    <t>% of Total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</si>
</sst>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8">
    <xf numFmtId="0" fontId="0" fillId="0" borderId="0" xfId="0"/>
    <xf numFmtId="0" fontId="16" fillId="0" borderId="0" xfId="0" applyFont="1" applyAlignment="1">
      <alignment horizontal="center" vertical="center"/>
    </xf>
    <xf numFmtId="0" fontId="0" fillId="0" borderId="0" xfId="0" applyAlignment="1"/>
    <xf numFmtId="49" fontId="0" fillId="0" borderId="0" xfId="0" applyNumberFormat="1" applyAlignment="1"/>
    <xf numFmtId="0" fontId="0" fillId="33" borderId="0" xfId="0" applyFill="1"/>
    <xf numFmtId="0" fontId="0" fillId="0" borderId="0" xfId="0" applyFill="1"/>
    <xf numFmtId="0" fontId="0" fillId="0" borderId="0" xfId="0" applyFill="1" applyAlignment="1">
      <alignment horizontal="center"/>
    </xf>
    <xf numFmtId="0" fontId="18" fillId="34" borderId="0" xfId="0" applyFont="1" applyFill="1"/>
    <xf numFmtId="9" fontId="0" fillId="0" borderId="0" xfId="1" applyFont="1"/>
    <xf numFmtId="9" fontId="0" fillId="0" borderId="0" xfId="1" applyNumberFormat="1" applyFont="1"/>
    <xf numFmtId="0" fontId="16" fillId="0" borderId="0" xfId="0" applyFont="1"/>
    <xf numFmtId="0" fontId="0" fillId="0" borderId="0" xfId="0" applyFill="1" applyAlignment="1">
      <alignment horizontal="left"/>
    </xf>
    <xf numFmtId="0" fontId="0" fillId="35" borderId="0" xfId="0" applyFill="1"/>
    <xf numFmtId="0" fontId="0" fillId="35" borderId="0" xfId="0" applyFill="1" applyAlignment="1">
      <alignment textRotation="90"/>
    </xf>
    <xf numFmtId="0" fontId="0" fillId="33" borderId="0" xfId="0" applyFill="1" applyAlignment="1">
      <alignment horizontal="center"/>
    </xf>
    <xf numFmtId="0" fontId="16" fillId="36" borderId="10" xfId="0" applyFont="1" applyFill="1" applyBorder="1" applyAlignment="1">
      <alignment horizontal="center" vertical="center"/>
    </xf>
    <xf numFmtId="0" fontId="16" fillId="36" borderId="11" xfId="0" applyFont="1" applyFill="1" applyBorder="1" applyAlignment="1">
      <alignment horizontal="center" vertical="center" wrapText="1"/>
    </xf>
    <xf numFmtId="0" fontId="16" fillId="36" borderId="12" xfId="0" applyFont="1" applyFill="1" applyBorder="1" applyAlignment="1">
      <alignment horizontal="center"/>
    </xf>
    <xf numFmtId="0" fontId="16" fillId="36" borderId="10" xfId="0" applyFont="1" applyFill="1" applyBorder="1" applyAlignment="1">
      <alignment horizontal="center"/>
    </xf>
    <xf numFmtId="0" fontId="16" fillId="36" borderId="13" xfId="0" applyFont="1" applyFill="1" applyBorder="1" applyAlignment="1">
      <alignment horizontal="center" vertical="center" wrapText="1"/>
    </xf>
    <xf numFmtId="0" fontId="16" fillId="37" borderId="12" xfId="0" applyFont="1" applyFill="1" applyBorder="1" applyAlignment="1">
      <alignment horizontal="center"/>
    </xf>
    <xf numFmtId="0" fontId="16" fillId="37" borderId="10" xfId="0" applyFont="1" applyFill="1" applyBorder="1" applyAlignment="1">
      <alignment horizontal="center"/>
    </xf>
    <xf numFmtId="0" fontId="0" fillId="0" borderId="10" xfId="0" applyBorder="1"/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9" fontId="0" fillId="0" borderId="12" xfId="1" applyFont="1" applyBorder="1" applyAlignment="1">
      <alignment horizontal="center"/>
    </xf>
    <xf numFmtId="9" fontId="0" fillId="0" borderId="10" xfId="1" applyFont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relativeIndent="0" justifyLastLine="0" shrinkToFit="0" mergeCell="0" readingOrder="0"/>
    </dxf>
    <dxf>
      <alignment horizontal="general" vertical="bottom" textRotation="0" wrapText="0" indent="0" relativeIndent="0" justifyLastLine="0" shrinkToFit="0" mergeCell="0" readingOrder="0"/>
    </dxf>
    <dxf>
      <numFmt numFmtId="30" formatCode="@"/>
      <alignment horizontal="general" vertical="bottom" textRotation="0" wrapText="0" indent="0" relativeIndent="0" justifyLastLine="0" shrinkToFit="0" mergeCell="0" readingOrder="0"/>
    </dxf>
    <dxf>
      <numFmt numFmtId="30" formatCode="@"/>
      <alignment horizontal="general" vertical="bottom" textRotation="0" wrapText="0" indent="0" relativeIndent="0" justifyLastLine="0" shrinkToFit="0" mergeCell="0" readingOrder="0"/>
    </dxf>
    <dxf>
      <numFmt numFmtId="30" formatCode="@"/>
      <alignment horizontal="general" vertical="bottom" textRotation="0" wrapText="0" indent="0" relativeIndent="0" justifyLastLine="0" shrinkToFit="0" mergeCell="0" readingOrder="0"/>
    </dxf>
    <dxf>
      <numFmt numFmtId="30" formatCode="@"/>
      <alignment horizontal="general" vertical="bottom" textRotation="0" wrapText="0" indent="0" relativeIndent="0" justifyLastLine="0" shrinkToFit="0" mergeCell="0" readingOrder="0"/>
    </dxf>
    <dxf>
      <numFmt numFmtId="30" formatCode="@"/>
      <alignment horizontal="general" vertical="bottom" textRotation="0" wrapText="0" indent="0" relativeIndent="0" justifyLastLine="0" shrinkToFit="0" mergeCell="0" readingOrder="0"/>
    </dxf>
    <dxf>
      <numFmt numFmtId="30" formatCode="@"/>
      <alignment horizontal="general" vertical="bottom" textRotation="0" wrapText="0" indent="0" relativeIndent="0" justifyLastLine="0" shrinkToFit="0" mergeCell="0" readingOrder="0"/>
    </dxf>
    <dxf>
      <numFmt numFmtId="30" formatCode="@"/>
      <alignment horizontal="general" vertical="bottom" textRotation="0" wrapText="0" indent="0" relativeIndent="0" justifyLastLine="0" shrinkToFit="0" mergeCell="0" readingOrder="0"/>
    </dxf>
    <dxf>
      <numFmt numFmtId="30" formatCode="@"/>
      <alignment horizontal="general" vertical="bottom" textRotation="0" wrapText="0" indent="0" relativeIndent="0" justifyLastLine="0" shrinkToFit="0" mergeCell="0" readingOrder="0"/>
    </dxf>
    <dxf>
      <numFmt numFmtId="30" formatCode="@"/>
      <alignment horizontal="general" vertical="bottom" textRotation="0" wrapText="0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Table2" displayName="Table2" ref="A1:I1071" totalsRowShown="0" headerRowDxfId="0" dataDxfId="1">
  <autoFilter ref="A1:I1071"/>
  <sortState ref="A2:I1071">
    <sortCondition ref="A1:A1071"/>
  </sortState>
  <tableColumns count="9">
    <tableColumn id="1" name="Vertical" dataDxfId="10"/>
    <tableColumn id="2" name="Company / Account" dataDxfId="9"/>
    <tableColumn id="3" name="Lead Owner" dataDxfId="8"/>
    <tableColumn id="4" name="First Name" dataDxfId="7"/>
    <tableColumn id="5" name="Last Name" dataDxfId="6"/>
    <tableColumn id="6" name="Lead Status" dataDxfId="5"/>
    <tableColumn id="7" name="Title" dataDxfId="4"/>
    <tableColumn id="8" name="Lead Source" dataDxfId="3"/>
    <tableColumn id="9" name="Lead ID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workbookViewId="0">
      <selection activeCell="K2" sqref="K2"/>
    </sheetView>
  </sheetViews>
  <sheetFormatPr defaultRowHeight="15"/>
  <cols>
    <col min="1" max="1" width="25.5703125" bestFit="1" customWidth="1"/>
    <col min="2" max="2" width="12.42578125" customWidth="1"/>
    <col min="3" max="3" width="9.140625" customWidth="1"/>
    <col min="4" max="4" width="10.85546875" bestFit="1" customWidth="1"/>
    <col min="6" max="6" width="16.7109375" bestFit="1" customWidth="1"/>
    <col min="7" max="7" width="20.5703125" bestFit="1" customWidth="1"/>
  </cols>
  <sheetData>
    <row r="1" spans="1:11" ht="18.75">
      <c r="A1" s="7" t="s">
        <v>3632</v>
      </c>
    </row>
    <row r="2" spans="1:11">
      <c r="A2" s="14" t="s">
        <v>120</v>
      </c>
      <c r="B2" s="14"/>
      <c r="D2" s="4" t="s">
        <v>3636</v>
      </c>
      <c r="E2" s="10">
        <f>SUM(SIGN(FREQUENCY(IFERROR(IF('Data Dump'!$A:$A=Sheet2!A2,MATCH('Data Dump'!$B:$B,'Data Dump'!$B:$B,0)),""),ROW('Data Dump'!$A$1:$A$2000)-ROW('Data Dump'!$A$1)+1)))</f>
        <v>1</v>
      </c>
      <c r="G2" s="14" t="s">
        <v>11</v>
      </c>
      <c r="H2" s="14"/>
      <c r="J2" s="4" t="s">
        <v>3636</v>
      </c>
      <c r="K2" s="10">
        <f>SUM(SIGN(FREQUENCY(IFERROR(IF('Data Dump'!$C:$C=Sheet2!G2,MATCH('Data Dump'!$B:$B,'Data Dump'!$B:$B,0)),""),ROW('Data Dump'!$A$1:$A$2000)-ROW('Data Dump'!$A$1)+1)))</f>
        <v>1</v>
      </c>
    </row>
    <row r="3" spans="1:11">
      <c r="A3" s="11" t="s">
        <v>38</v>
      </c>
      <c r="B3" s="6"/>
      <c r="C3" s="10">
        <f>SUM(SIGN(FREQUENCY(IFERROR(IF('Data Dump'!A:A=A2,MATCH('Data Dump'!B:B,'Data Dump'!B:B,0)),""),ROW('Data Dump'!A1:A1000)-ROW('Data Dump'!A1)+1)))</f>
        <v>1</v>
      </c>
      <c r="D3" s="9">
        <f>ROUND((C3/$E$2),2)</f>
        <v>1</v>
      </c>
      <c r="E3" s="8" t="str">
        <f>C3&amp;"  /  "&amp;D3</f>
        <v>1  /  1</v>
      </c>
      <c r="G3" s="11" t="s">
        <v>38</v>
      </c>
      <c r="H3" s="6"/>
      <c r="I3" s="10" t="e">
        <f>SUM(SIGN(FREQUENCY(IFERROR(IF('Data Dump'!G:G=G2,MATCH('Data Dump'!H:H,'Data Dump'!H:H,0)),""),ROW('Data Dump'!G1:G1000)-ROW('Data Dump'!G1)+1)))</f>
        <v>#VALUE!</v>
      </c>
      <c r="J3" s="9" t="e">
        <f>ROUND((I3/$E$2),2)</f>
        <v>#VALUE!</v>
      </c>
      <c r="K3" s="8" t="e">
        <f>I3&amp;"  /  "&amp;J3</f>
        <v>#VALUE!</v>
      </c>
    </row>
    <row r="4" spans="1:11">
      <c r="A4" t="s">
        <v>217</v>
      </c>
      <c r="C4">
        <f>COUNTIFS('Data Dump'!$A:$A,Sheet2!$A$2,'Data Dump'!$F:$F,Sheet2!A4)</f>
        <v>41</v>
      </c>
      <c r="D4" s="9">
        <f>ROUND((C4/$E$2),2)</f>
        <v>41</v>
      </c>
      <c r="E4" s="8" t="str">
        <f>C4&amp;"  /  "&amp;D4</f>
        <v>41  /  41</v>
      </c>
      <c r="G4" t="s">
        <v>217</v>
      </c>
      <c r="I4">
        <f>COUNTIFS('Data Dump'!$A:$A,Sheet2!$A$2,'Data Dump'!$F:$F,Sheet2!G4)</f>
        <v>41</v>
      </c>
      <c r="J4" s="9">
        <f>ROUND((I4/$E$2),2)</f>
        <v>41</v>
      </c>
      <c r="K4" s="8" t="str">
        <f>I4&amp;"  /  "&amp;J4</f>
        <v>41  /  41</v>
      </c>
    </row>
    <row r="5" spans="1:11">
      <c r="A5" t="s">
        <v>225</v>
      </c>
      <c r="C5">
        <f>COUNTIFS('Data Dump'!$A:$A,Sheet2!$A$2,'Data Dump'!$F:$F,Sheet2!A5)</f>
        <v>16</v>
      </c>
      <c r="D5" s="9">
        <f>ROUND((C5/$E$2),2)</f>
        <v>16</v>
      </c>
      <c r="E5" s="8" t="str">
        <f>C5&amp;"  /  "&amp;D5</f>
        <v>16  /  16</v>
      </c>
      <c r="G5" t="s">
        <v>225</v>
      </c>
      <c r="I5">
        <f>COUNTIFS('Data Dump'!$A:$A,Sheet2!$A$2,'Data Dump'!$F:$F,Sheet2!G5)</f>
        <v>16</v>
      </c>
      <c r="J5" s="9">
        <f>ROUND((I5/$E$2),2)</f>
        <v>16</v>
      </c>
      <c r="K5" s="8" t="str">
        <f>I5&amp;"  /  "&amp;J5</f>
        <v>16  /  16</v>
      </c>
    </row>
    <row r="6" spans="1:11">
      <c r="A6" t="s">
        <v>14</v>
      </c>
      <c r="C6">
        <f>COUNTIFS('Data Dump'!$A:$A,Sheet2!$A$2,'Data Dump'!$F:$F,Sheet2!A6)</f>
        <v>8</v>
      </c>
      <c r="D6" s="9">
        <f>ROUND((C6/$E$2),2)</f>
        <v>8</v>
      </c>
      <c r="E6" s="8" t="str">
        <f>C6&amp;"  /  "&amp;D6</f>
        <v>8  /  8</v>
      </c>
      <c r="G6" t="s">
        <v>14</v>
      </c>
      <c r="I6">
        <f>COUNTIFS('Data Dump'!$A:$A,Sheet2!$A$2,'Data Dump'!$F:$F,Sheet2!G6)</f>
        <v>8</v>
      </c>
      <c r="J6" s="9">
        <f>ROUND((I6/$E$2),2)</f>
        <v>8</v>
      </c>
      <c r="K6" s="8" t="str">
        <f>I6&amp;"  /  "&amp;J6</f>
        <v>8  /  8</v>
      </c>
    </row>
    <row r="7" spans="1:11" s="5" customFormat="1">
      <c r="A7" s="14" t="s">
        <v>9</v>
      </c>
      <c r="B7" s="14"/>
      <c r="D7" s="4"/>
      <c r="E7" s="10" t="e">
        <f>SUM(SIGN(FREQUENCY(IFERROR(IF('Data Dump'!A:A=Sheet2!A7,MATCH('Data Dump'!B:B,'Data Dump'!B:B,0)),""),ROW('Data Dump'!$A$1:$A$2000)-ROW('Data Dump'!$A$1)+1)))</f>
        <v>#VALUE!</v>
      </c>
      <c r="G7" s="14" t="s">
        <v>1588</v>
      </c>
      <c r="H7" s="14"/>
      <c r="J7" s="4"/>
      <c r="K7" s="10" t="e">
        <f>SUM(SIGN(FREQUENCY(IFERROR(IF('Data Dump'!C:C=Sheet2!G7,MATCH('Data Dump'!B:B,'Data Dump'!B:B,0)),""),ROW('Data Dump'!$A$1:$A$2000)-ROW('Data Dump'!$A$1)+1)))</f>
        <v>#VALUE!</v>
      </c>
    </row>
    <row r="8" spans="1:11" s="5" customFormat="1">
      <c r="A8" s="11" t="s">
        <v>38</v>
      </c>
      <c r="B8" s="6"/>
      <c r="E8" s="10"/>
      <c r="G8" s="11" t="s">
        <v>38</v>
      </c>
      <c r="H8" s="6"/>
      <c r="K8" s="10"/>
    </row>
    <row r="9" spans="1:11">
      <c r="A9" t="s">
        <v>217</v>
      </c>
      <c r="C9">
        <f>COUNTIFS('Data Dump'!$A:$A,Sheet2!$A$7,'Data Dump'!$F:$F,Sheet2!A9)</f>
        <v>24</v>
      </c>
      <c r="D9" s="8" t="e">
        <f>ROUND((C9/$E$7),2)</f>
        <v>#VALUE!</v>
      </c>
      <c r="E9" t="e">
        <f>C9&amp;"  /  "&amp;D9</f>
        <v>#VALUE!</v>
      </c>
      <c r="G9" t="s">
        <v>217</v>
      </c>
      <c r="I9">
        <f>COUNTIFS('Data Dump'!$A:$A,Sheet2!$A$7,'Data Dump'!$F:$F,Sheet2!G9)</f>
        <v>24</v>
      </c>
      <c r="J9" s="8" t="e">
        <f>ROUND((I9/$E$7),2)</f>
        <v>#VALUE!</v>
      </c>
      <c r="K9" t="e">
        <f>I9&amp;"  /  "&amp;J9</f>
        <v>#VALUE!</v>
      </c>
    </row>
    <row r="10" spans="1:11">
      <c r="A10" t="s">
        <v>225</v>
      </c>
      <c r="C10">
        <f>COUNTIFS('Data Dump'!$A:$A,Sheet2!$A$7,'Data Dump'!$F:$F,Sheet2!A10)</f>
        <v>6</v>
      </c>
      <c r="D10" s="8" t="e">
        <f>ROUND((C10/$E$7),2)</f>
        <v>#VALUE!</v>
      </c>
      <c r="E10" t="e">
        <f>C10&amp;"  /  "&amp;D10</f>
        <v>#VALUE!</v>
      </c>
      <c r="G10" t="s">
        <v>225</v>
      </c>
      <c r="I10">
        <f>COUNTIFS('Data Dump'!$A:$A,Sheet2!$A$7,'Data Dump'!$F:$F,Sheet2!G10)</f>
        <v>6</v>
      </c>
      <c r="J10" s="8" t="e">
        <f>ROUND((I10/$E$7),2)</f>
        <v>#VALUE!</v>
      </c>
      <c r="K10" t="e">
        <f>I10&amp;"  /  "&amp;J10</f>
        <v>#VALUE!</v>
      </c>
    </row>
    <row r="11" spans="1:11">
      <c r="A11" t="s">
        <v>14</v>
      </c>
      <c r="C11">
        <f>COUNTIFS('Data Dump'!$A:$A,Sheet2!$A$7,'Data Dump'!$F:$F,Sheet2!A11)</f>
        <v>20</v>
      </c>
      <c r="D11" s="8" t="e">
        <f>ROUND((C11/$E$7),2)</f>
        <v>#VALUE!</v>
      </c>
      <c r="E11" t="e">
        <f>C11&amp;"  /  "&amp;D11</f>
        <v>#VALUE!</v>
      </c>
      <c r="G11" t="s">
        <v>14</v>
      </c>
      <c r="I11">
        <f>COUNTIFS('Data Dump'!$A:$A,Sheet2!$A$7,'Data Dump'!$F:$F,Sheet2!G11)</f>
        <v>20</v>
      </c>
      <c r="J11" s="8" t="e">
        <f>ROUND((I11/$E$7),2)</f>
        <v>#VALUE!</v>
      </c>
      <c r="K11" t="e">
        <f>I11&amp;"  /  "&amp;J11</f>
        <v>#VALUE!</v>
      </c>
    </row>
    <row r="12" spans="1:11">
      <c r="A12" s="14" t="s">
        <v>73</v>
      </c>
      <c r="B12" s="14"/>
      <c r="D12" s="4"/>
      <c r="E12" s="10" t="e">
        <f>SUM(SIGN(FREQUENCY(IFERROR(IF('Data Dump'!A:A=Sheet2!A12,MATCH('Data Dump'!B:B,'Data Dump'!B:B,0)),""),ROW('Data Dump'!$A$1:$A$2000)-ROW('Data Dump'!$A$1)+1)))</f>
        <v>#VALUE!</v>
      </c>
      <c r="G12" s="14" t="s">
        <v>2157</v>
      </c>
      <c r="H12" s="14"/>
      <c r="J12" s="4"/>
      <c r="K12" s="10" t="e">
        <f>SUM(SIGN(FREQUENCY(IFERROR(IF('Data Dump'!C:C=Sheet2!G12,MATCH('Data Dump'!B:B,'Data Dump'!B:B,0)),""),ROW('Data Dump'!$A$1:$A$2000)-ROW('Data Dump'!$A$1)+1)))</f>
        <v>#VALUE!</v>
      </c>
    </row>
    <row r="13" spans="1:11">
      <c r="A13" s="11" t="s">
        <v>38</v>
      </c>
      <c r="B13" s="6"/>
      <c r="C13" s="5"/>
      <c r="D13" s="5"/>
      <c r="E13" s="10"/>
      <c r="G13" s="11" t="s">
        <v>38</v>
      </c>
      <c r="H13" s="6"/>
      <c r="I13" s="5"/>
      <c r="J13" s="5"/>
      <c r="K13" s="10"/>
    </row>
    <row r="14" spans="1:11">
      <c r="A14" t="s">
        <v>217</v>
      </c>
      <c r="C14">
        <f>COUNTIFS('Data Dump'!$A:$A,Sheet2!$A$12,'Data Dump'!$F:$F,Sheet2!A14)</f>
        <v>24</v>
      </c>
      <c r="D14" s="8" t="e">
        <f>ROUND((C14/$E$12),2)</f>
        <v>#VALUE!</v>
      </c>
      <c r="E14" t="e">
        <f>C14&amp;"  /  "&amp;D14</f>
        <v>#VALUE!</v>
      </c>
      <c r="F14" s="11"/>
      <c r="G14" t="s">
        <v>217</v>
      </c>
      <c r="I14">
        <f>COUNTIFS('Data Dump'!$A:$A,Sheet2!$A$12,'Data Dump'!$F:$F,Sheet2!G14)</f>
        <v>24</v>
      </c>
      <c r="J14" s="8" t="e">
        <f>ROUND((I14/$E$12),2)</f>
        <v>#VALUE!</v>
      </c>
      <c r="K14" t="e">
        <f>I14&amp;"  /  "&amp;J14</f>
        <v>#VALUE!</v>
      </c>
    </row>
    <row r="15" spans="1:11">
      <c r="A15" t="s">
        <v>225</v>
      </c>
      <c r="C15">
        <f>COUNTIFS('Data Dump'!$A:$A,Sheet2!$A$12,'Data Dump'!$F:$F,Sheet2!A15)</f>
        <v>2</v>
      </c>
      <c r="D15" s="8" t="e">
        <f>ROUND((C15/$E$12),2)</f>
        <v>#VALUE!</v>
      </c>
      <c r="E15" t="e">
        <f>C15&amp;"  /  "&amp;D15</f>
        <v>#VALUE!</v>
      </c>
      <c r="G15" t="s">
        <v>225</v>
      </c>
      <c r="I15">
        <f>COUNTIFS('Data Dump'!$A:$A,Sheet2!$A$12,'Data Dump'!$F:$F,Sheet2!G15)</f>
        <v>2</v>
      </c>
      <c r="J15" s="8" t="e">
        <f>ROUND((I15/$E$12),2)</f>
        <v>#VALUE!</v>
      </c>
      <c r="K15" t="e">
        <f>I15&amp;"  /  "&amp;J15</f>
        <v>#VALUE!</v>
      </c>
    </row>
    <row r="16" spans="1:11">
      <c r="A16" t="s">
        <v>14</v>
      </c>
      <c r="C16">
        <f>COUNTIFS('Data Dump'!$A:$A,Sheet2!$A$12,'Data Dump'!$F:$F,Sheet2!A16)</f>
        <v>2</v>
      </c>
      <c r="D16" s="8" t="e">
        <f>ROUND((C16/$E$12),2)</f>
        <v>#VALUE!</v>
      </c>
      <c r="E16" t="e">
        <f>C16&amp;"  /  "&amp;D16</f>
        <v>#VALUE!</v>
      </c>
      <c r="G16" t="s">
        <v>14</v>
      </c>
      <c r="I16">
        <f>COUNTIFS('Data Dump'!$A:$A,Sheet2!$A$12,'Data Dump'!$F:$F,Sheet2!G16)</f>
        <v>2</v>
      </c>
      <c r="J16" s="8" t="e">
        <f>ROUND((I16/$E$12),2)</f>
        <v>#VALUE!</v>
      </c>
      <c r="K16" t="e">
        <f>I16&amp;"  /  "&amp;J16</f>
        <v>#VALUE!</v>
      </c>
    </row>
    <row r="17" spans="1:11">
      <c r="A17" s="14" t="s">
        <v>1000</v>
      </c>
      <c r="B17" s="14"/>
      <c r="D17" s="4"/>
      <c r="E17" s="10" t="e">
        <f>SUM(SIGN(FREQUENCY(IFERROR(IF('Data Dump'!A:A=Sheet2!A17,MATCH('Data Dump'!B:B,'Data Dump'!B:B,0)),""),ROW('Data Dump'!$A$1:$A$2000)-ROW('Data Dump'!$A$1)+1)))</f>
        <v>#VALUE!</v>
      </c>
      <c r="G17" s="14" t="s">
        <v>3529</v>
      </c>
      <c r="H17" s="14"/>
      <c r="J17" s="4"/>
      <c r="K17" s="10" t="e">
        <f>SUM(SIGN(FREQUENCY(IFERROR(IF('Data Dump'!C:C=Sheet2!G17,MATCH('Data Dump'!B:B,'Data Dump'!B:B,0)),""),ROW('Data Dump'!$A$1:$A$2000)-ROW('Data Dump'!$A$1)+1)))</f>
        <v>#VALUE!</v>
      </c>
    </row>
    <row r="18" spans="1:11">
      <c r="A18" s="11" t="s">
        <v>38</v>
      </c>
      <c r="B18" s="6"/>
      <c r="C18" s="5"/>
      <c r="D18" s="5"/>
      <c r="E18" s="10"/>
      <c r="G18" s="11" t="s">
        <v>38</v>
      </c>
      <c r="H18" s="6"/>
      <c r="I18" s="5"/>
      <c r="J18" s="5"/>
      <c r="K18" s="10"/>
    </row>
    <row r="19" spans="1:11">
      <c r="A19" t="s">
        <v>217</v>
      </c>
      <c r="C19">
        <f>COUNTIFS('Data Dump'!$A:$A,Sheet2!$A$17,'Data Dump'!$F:$F,Sheet2!A19)</f>
        <v>35</v>
      </c>
      <c r="D19" s="8" t="e">
        <f>ROUND((C19/$E$17),2)</f>
        <v>#VALUE!</v>
      </c>
      <c r="E19" t="e">
        <f>C19&amp;"  /  "&amp;D19</f>
        <v>#VALUE!</v>
      </c>
      <c r="G19" t="s">
        <v>217</v>
      </c>
      <c r="I19">
        <f>COUNTIFS('Data Dump'!$A:$A,Sheet2!$A$17,'Data Dump'!$F:$F,Sheet2!G19)</f>
        <v>35</v>
      </c>
      <c r="J19" s="8" t="e">
        <f>ROUND((I19/$E$17),2)</f>
        <v>#VALUE!</v>
      </c>
      <c r="K19" t="e">
        <f>I19&amp;"  /  "&amp;J19</f>
        <v>#VALUE!</v>
      </c>
    </row>
    <row r="20" spans="1:11">
      <c r="A20" t="s">
        <v>225</v>
      </c>
      <c r="C20">
        <f>COUNTIFS('Data Dump'!$A:$A,Sheet2!$A$17,'Data Dump'!$F:$F,Sheet2!A20)</f>
        <v>0</v>
      </c>
      <c r="D20" s="8" t="e">
        <f>ROUND((C20/$E$17),2)</f>
        <v>#VALUE!</v>
      </c>
      <c r="E20" t="e">
        <f>C20&amp;"  /  "&amp;D20</f>
        <v>#VALUE!</v>
      </c>
      <c r="G20" t="s">
        <v>225</v>
      </c>
      <c r="I20">
        <f>COUNTIFS('Data Dump'!$A:$A,Sheet2!$A$17,'Data Dump'!$F:$F,Sheet2!G20)</f>
        <v>0</v>
      </c>
      <c r="J20" s="8" t="e">
        <f>ROUND((I20/$E$17),2)</f>
        <v>#VALUE!</v>
      </c>
      <c r="K20" t="e">
        <f>I20&amp;"  /  "&amp;J20</f>
        <v>#VALUE!</v>
      </c>
    </row>
    <row r="21" spans="1:11">
      <c r="A21" t="s">
        <v>14</v>
      </c>
      <c r="C21">
        <f>COUNTIFS('Data Dump'!$A:$A,Sheet2!$A$17,'Data Dump'!$F:$F,Sheet2!A21)</f>
        <v>6</v>
      </c>
      <c r="D21" s="8" t="e">
        <f>ROUND((C21/$E$17),2)</f>
        <v>#VALUE!</v>
      </c>
      <c r="E21" t="e">
        <f>C21&amp;"  /  "&amp;D21</f>
        <v>#VALUE!</v>
      </c>
      <c r="G21" t="s">
        <v>14</v>
      </c>
      <c r="I21">
        <f>COUNTIFS('Data Dump'!$A:$A,Sheet2!$A$17,'Data Dump'!$F:$F,Sheet2!G21)</f>
        <v>6</v>
      </c>
      <c r="J21" s="8" t="e">
        <f>ROUND((I21/$E$17),2)</f>
        <v>#VALUE!</v>
      </c>
      <c r="K21" t="e">
        <f>I21&amp;"  /  "&amp;J21</f>
        <v>#VALUE!</v>
      </c>
    </row>
    <row r="22" spans="1:11">
      <c r="A22" s="14" t="s">
        <v>34</v>
      </c>
      <c r="B22" s="14"/>
      <c r="D22" s="4"/>
      <c r="E22" s="10" t="e">
        <f>SUM(SIGN(FREQUENCY(IFERROR(IF('Data Dump'!A:A=Sheet2!A22,MATCH('Data Dump'!B:B,'Data Dump'!B:B,0)),""),ROW('Data Dump'!$A$1:$A$2000)-ROW('Data Dump'!$A$1)+1)))</f>
        <v>#VALUE!</v>
      </c>
      <c r="G22" s="14" t="s">
        <v>3513</v>
      </c>
      <c r="H22" s="14"/>
      <c r="J22" s="4"/>
      <c r="K22" s="10" t="e">
        <f>SUM(SIGN(FREQUENCY(IFERROR(IF('Data Dump'!C:C=Sheet2!G22,MATCH('Data Dump'!B:B,'Data Dump'!B:B,0)),""),ROW('Data Dump'!$A$1:$A$2000)-ROW('Data Dump'!$A$1)+1)))</f>
        <v>#VALUE!</v>
      </c>
    </row>
    <row r="23" spans="1:11">
      <c r="A23" s="11" t="s">
        <v>38</v>
      </c>
      <c r="B23" s="6"/>
      <c r="C23" s="5"/>
      <c r="D23" s="5"/>
      <c r="E23" s="10"/>
      <c r="G23" s="11" t="s">
        <v>38</v>
      </c>
      <c r="H23" s="6"/>
      <c r="I23" s="5"/>
      <c r="J23" s="5"/>
      <c r="K23" s="10"/>
    </row>
    <row r="24" spans="1:11">
      <c r="A24" t="s">
        <v>217</v>
      </c>
      <c r="C24">
        <f>COUNTIFS('Data Dump'!$A:$A,Sheet2!$A$22,'Data Dump'!$F:$F,Sheet2!A24)</f>
        <v>87</v>
      </c>
      <c r="D24" s="9" t="e">
        <f>ROUND((C24/$E$22),2)</f>
        <v>#VALUE!</v>
      </c>
      <c r="E24" t="e">
        <f>C24&amp;"  /  "&amp;D24</f>
        <v>#VALUE!</v>
      </c>
      <c r="G24" t="s">
        <v>217</v>
      </c>
      <c r="I24">
        <f>COUNTIFS('Data Dump'!$A:$A,Sheet2!$A$22,'Data Dump'!$F:$F,Sheet2!G24)</f>
        <v>87</v>
      </c>
      <c r="J24" s="9" t="e">
        <f>ROUND((I24/$E$22),2)</f>
        <v>#VALUE!</v>
      </c>
      <c r="K24" t="e">
        <f>I24&amp;"  /  "&amp;J24</f>
        <v>#VALUE!</v>
      </c>
    </row>
    <row r="25" spans="1:11">
      <c r="A25" t="s">
        <v>225</v>
      </c>
      <c r="C25">
        <f>COUNTIFS('Data Dump'!$A:$A,Sheet2!$A$22,'Data Dump'!$F:$F,Sheet2!A25)</f>
        <v>7</v>
      </c>
      <c r="D25" s="9" t="e">
        <f>ROUND((C25/$E$22),2)</f>
        <v>#VALUE!</v>
      </c>
      <c r="E25" t="e">
        <f>C25&amp;"  /  "&amp;D25</f>
        <v>#VALUE!</v>
      </c>
      <c r="G25" t="s">
        <v>225</v>
      </c>
      <c r="I25">
        <f>COUNTIFS('Data Dump'!$A:$A,Sheet2!$A$22,'Data Dump'!$F:$F,Sheet2!G25)</f>
        <v>7</v>
      </c>
      <c r="J25" s="9" t="e">
        <f>ROUND((I25/$E$22),2)</f>
        <v>#VALUE!</v>
      </c>
      <c r="K25" t="e">
        <f>I25&amp;"  /  "&amp;J25</f>
        <v>#VALUE!</v>
      </c>
    </row>
    <row r="26" spans="1:11">
      <c r="A26" t="s">
        <v>14</v>
      </c>
      <c r="C26">
        <f>COUNTIFS('Data Dump'!$A:$A,Sheet2!$A$22,'Data Dump'!$F:$F,Sheet2!A26)</f>
        <v>1</v>
      </c>
      <c r="D26" s="9" t="e">
        <f>ROUND((C26/$E$22),2)</f>
        <v>#VALUE!</v>
      </c>
      <c r="E26" t="e">
        <f>C26&amp;"  /  "&amp;D26</f>
        <v>#VALUE!</v>
      </c>
      <c r="G26" t="s">
        <v>14</v>
      </c>
      <c r="I26">
        <f>COUNTIFS('Data Dump'!$A:$A,Sheet2!$A$22,'Data Dump'!$F:$F,Sheet2!G26)</f>
        <v>1</v>
      </c>
      <c r="J26" s="9" t="e">
        <f>ROUND((I26/$E$22),2)</f>
        <v>#VALUE!</v>
      </c>
      <c r="K26" t="e">
        <f>I26&amp;"  /  "&amp;J26</f>
        <v>#VALUE!</v>
      </c>
    </row>
    <row r="27" spans="1:11">
      <c r="A27" s="14" t="s">
        <v>617</v>
      </c>
      <c r="B27" s="14"/>
      <c r="D27" s="4"/>
      <c r="E27" s="10" t="e">
        <f>SUM(SIGN(FREQUENCY(IFERROR(IF('Data Dump'!A:A=Sheet2!A27,MATCH('Data Dump'!B:B,'Data Dump'!B:B,0)),""),ROW('Data Dump'!$A$1:$A$2000)-ROW('Data Dump'!$A$1)+1)))</f>
        <v>#VALUE!</v>
      </c>
      <c r="G27" s="14" t="s">
        <v>900</v>
      </c>
      <c r="H27" s="14"/>
      <c r="J27" s="4"/>
      <c r="K27" s="10" t="e">
        <f>SUM(SIGN(FREQUENCY(IFERROR(IF('Data Dump'!C:C=Sheet2!G27,MATCH('Data Dump'!B:B,'Data Dump'!B:B,0)),""),ROW('Data Dump'!$A$1:$A$2000)-ROW('Data Dump'!$A$1)+1)))</f>
        <v>#VALUE!</v>
      </c>
    </row>
    <row r="28" spans="1:11">
      <c r="A28" s="11" t="s">
        <v>38</v>
      </c>
      <c r="B28" s="6"/>
      <c r="C28" s="5"/>
      <c r="D28" s="5"/>
      <c r="E28" s="10"/>
      <c r="G28" s="11" t="s">
        <v>38</v>
      </c>
      <c r="H28" s="6"/>
      <c r="I28" s="5"/>
      <c r="J28" s="5"/>
      <c r="K28" s="10"/>
    </row>
    <row r="29" spans="1:11">
      <c r="A29" t="s">
        <v>217</v>
      </c>
      <c r="C29">
        <f>COUNTIFS('Data Dump'!$A:$A,Sheet2!$A$27,'Data Dump'!$F:$F,Sheet2!A29)</f>
        <v>29</v>
      </c>
      <c r="D29" s="8" t="e">
        <f>ROUND((C29/$E$27),2)</f>
        <v>#VALUE!</v>
      </c>
      <c r="E29" t="e">
        <f>C29&amp;"  /  "&amp;D29</f>
        <v>#VALUE!</v>
      </c>
      <c r="G29" t="s">
        <v>217</v>
      </c>
      <c r="I29">
        <f>COUNTIFS('Data Dump'!$A:$A,Sheet2!$A$27,'Data Dump'!$F:$F,Sheet2!G29)</f>
        <v>29</v>
      </c>
      <c r="J29" s="8" t="e">
        <f>ROUND((I29/$E$27),2)</f>
        <v>#VALUE!</v>
      </c>
      <c r="K29" t="e">
        <f>I29&amp;"  /  "&amp;J29</f>
        <v>#VALUE!</v>
      </c>
    </row>
    <row r="30" spans="1:11">
      <c r="A30" t="s">
        <v>225</v>
      </c>
      <c r="C30">
        <f>COUNTIFS('Data Dump'!$A:$A,Sheet2!$A$27,'Data Dump'!$F:$F,Sheet2!A30)</f>
        <v>2</v>
      </c>
      <c r="D30" s="8" t="e">
        <f>ROUND((C30/$E$27),2)</f>
        <v>#VALUE!</v>
      </c>
      <c r="E30" t="e">
        <f>C30&amp;"  /  "&amp;D30</f>
        <v>#VALUE!</v>
      </c>
      <c r="G30" t="s">
        <v>225</v>
      </c>
      <c r="I30">
        <f>COUNTIFS('Data Dump'!$A:$A,Sheet2!$A$27,'Data Dump'!$F:$F,Sheet2!G30)</f>
        <v>2</v>
      </c>
      <c r="J30" s="8" t="e">
        <f>ROUND((I30/$E$27),2)</f>
        <v>#VALUE!</v>
      </c>
      <c r="K30" t="e">
        <f>I30&amp;"  /  "&amp;J30</f>
        <v>#VALUE!</v>
      </c>
    </row>
    <row r="31" spans="1:11">
      <c r="A31" t="s">
        <v>14</v>
      </c>
      <c r="C31">
        <f>COUNTIFS('Data Dump'!$A:$A,Sheet2!$A$27,'Data Dump'!$F:$F,Sheet2!A31)</f>
        <v>1</v>
      </c>
      <c r="D31" s="8" t="e">
        <f>ROUND((C31/$E$27),2)</f>
        <v>#VALUE!</v>
      </c>
      <c r="E31" t="e">
        <f>C31&amp;"  /  "&amp;D31</f>
        <v>#VALUE!</v>
      </c>
      <c r="G31" t="s">
        <v>14</v>
      </c>
      <c r="I31">
        <f>COUNTIFS('Data Dump'!$A:$A,Sheet2!$A$27,'Data Dump'!$F:$F,Sheet2!G31)</f>
        <v>1</v>
      </c>
      <c r="J31" s="8" t="e">
        <f>ROUND((I31/$E$27),2)</f>
        <v>#VALUE!</v>
      </c>
      <c r="K31" t="e">
        <f>I31&amp;"  /  "&amp;J31</f>
        <v>#VALUE!</v>
      </c>
    </row>
    <row r="32" spans="1:11">
      <c r="A32" s="14" t="s">
        <v>2333</v>
      </c>
      <c r="B32" s="14"/>
      <c r="D32" s="4"/>
      <c r="E32" s="10" t="e">
        <f>SUM(SIGN(FREQUENCY(IFERROR(IF('Data Dump'!A:A=Sheet2!A32,MATCH('Data Dump'!B:B,'Data Dump'!B:B,0)),""),ROW('Data Dump'!$A$1:$A$2000)-ROW('Data Dump'!$A$1)+1)))</f>
        <v>#VALUE!</v>
      </c>
      <c r="G32" s="14" t="s">
        <v>2547</v>
      </c>
      <c r="H32" s="14"/>
      <c r="J32" s="4"/>
      <c r="K32" s="10" t="e">
        <f>SUM(SIGN(FREQUENCY(IFERROR(IF('Data Dump'!C:C=Sheet2!G32,MATCH('Data Dump'!B:B,'Data Dump'!B:B,0)),""),ROW('Data Dump'!$A$1:$A$2000)-ROW('Data Dump'!$A$1)+1)))</f>
        <v>#VALUE!</v>
      </c>
    </row>
    <row r="33" spans="1:11">
      <c r="A33" s="11" t="s">
        <v>38</v>
      </c>
      <c r="B33" s="6"/>
      <c r="C33" s="5"/>
      <c r="D33" s="5"/>
      <c r="E33" s="10"/>
      <c r="G33" s="11" t="s">
        <v>38</v>
      </c>
      <c r="H33" s="6"/>
      <c r="I33" s="5"/>
      <c r="J33" s="5"/>
      <c r="K33" s="10"/>
    </row>
    <row r="34" spans="1:11">
      <c r="A34" t="s">
        <v>217</v>
      </c>
      <c r="C34">
        <f>COUNTIFS('Data Dump'!$A:$A,Sheet2!$A$32,'Data Dump'!$F:$F,Sheet2!A34)</f>
        <v>5</v>
      </c>
      <c r="D34" s="8" t="e">
        <f>ROUND((C34/$E$32),2)</f>
        <v>#VALUE!</v>
      </c>
      <c r="E34" t="e">
        <f>C34&amp;"  /  "&amp;D34</f>
        <v>#VALUE!</v>
      </c>
      <c r="G34" t="s">
        <v>217</v>
      </c>
      <c r="I34">
        <f>COUNTIFS('Data Dump'!$A:$A,Sheet2!$A$32,'Data Dump'!$F:$F,Sheet2!G34)</f>
        <v>5</v>
      </c>
      <c r="J34" s="8" t="e">
        <f>ROUND((I34/$E$32),2)</f>
        <v>#VALUE!</v>
      </c>
      <c r="K34" t="e">
        <f>I34&amp;"  /  "&amp;J34</f>
        <v>#VALUE!</v>
      </c>
    </row>
    <row r="35" spans="1:11">
      <c r="A35" t="s">
        <v>225</v>
      </c>
      <c r="C35">
        <f>COUNTIFS('Data Dump'!$A:$A,Sheet2!$A$32,'Data Dump'!$F:$F,Sheet2!A35)</f>
        <v>0</v>
      </c>
      <c r="D35" s="8" t="e">
        <f>ROUND((C35/$E$32),2)</f>
        <v>#VALUE!</v>
      </c>
      <c r="E35" t="e">
        <f>C35&amp;"  /  "&amp;D35</f>
        <v>#VALUE!</v>
      </c>
      <c r="G35" t="s">
        <v>225</v>
      </c>
      <c r="I35">
        <f>COUNTIFS('Data Dump'!$A:$A,Sheet2!$A$32,'Data Dump'!$F:$F,Sheet2!G35)</f>
        <v>0</v>
      </c>
      <c r="J35" s="8" t="e">
        <f>ROUND((I35/$E$32),2)</f>
        <v>#VALUE!</v>
      </c>
      <c r="K35" t="e">
        <f>I35&amp;"  /  "&amp;J35</f>
        <v>#VALUE!</v>
      </c>
    </row>
    <row r="36" spans="1:11">
      <c r="A36" t="s">
        <v>14</v>
      </c>
      <c r="C36">
        <f>COUNTIFS('Data Dump'!$A:$A,Sheet2!$A$32,'Data Dump'!$F:$F,Sheet2!A36)</f>
        <v>0</v>
      </c>
      <c r="D36" s="8" t="e">
        <f>ROUND((C36/$E$32),2)</f>
        <v>#VALUE!</v>
      </c>
      <c r="E36" t="e">
        <f>C36&amp;"  /  "&amp;D36</f>
        <v>#VALUE!</v>
      </c>
      <c r="G36" t="s">
        <v>14</v>
      </c>
      <c r="I36">
        <f>COUNTIFS('Data Dump'!$A:$A,Sheet2!$A$32,'Data Dump'!$F:$F,Sheet2!G36)</f>
        <v>0</v>
      </c>
      <c r="J36" s="8" t="e">
        <f>ROUND((I36/$E$32),2)</f>
        <v>#VALUE!</v>
      </c>
      <c r="K36" t="e">
        <f>I36&amp;"  /  "&amp;J36</f>
        <v>#VALUE!</v>
      </c>
    </row>
    <row r="37" spans="1:11">
      <c r="A37" s="14" t="s">
        <v>629</v>
      </c>
      <c r="B37" s="14"/>
      <c r="D37" s="4"/>
      <c r="E37" s="10" t="e">
        <f>SUM(SIGN(FREQUENCY(IFERROR(IF('Data Dump'!A:A=Sheet2!A37,MATCH('Data Dump'!B:B,'Data Dump'!B:B,0)),""),ROW('Data Dump'!$A$1:$A$2000)-ROW('Data Dump'!$A$1)+1)))</f>
        <v>#VALUE!</v>
      </c>
      <c r="G37" s="14" t="s">
        <v>320</v>
      </c>
      <c r="H37" s="14"/>
      <c r="J37" s="4"/>
      <c r="K37" s="10" t="e">
        <f>SUM(SIGN(FREQUENCY(IFERROR(IF('Data Dump'!C:C=Sheet2!G37,MATCH('Data Dump'!B:B,'Data Dump'!B:B,0)),""),ROW('Data Dump'!$A$1:$A$2000)-ROW('Data Dump'!$A$1)+1)))</f>
        <v>#VALUE!</v>
      </c>
    </row>
    <row r="38" spans="1:11">
      <c r="A38" s="11" t="s">
        <v>38</v>
      </c>
      <c r="B38" s="6"/>
      <c r="C38" s="5"/>
      <c r="D38" s="5"/>
      <c r="E38" s="10"/>
      <c r="G38" s="11" t="s">
        <v>38</v>
      </c>
      <c r="H38" s="6"/>
      <c r="I38" s="5"/>
      <c r="J38" s="5"/>
      <c r="K38" s="10"/>
    </row>
    <row r="39" spans="1:11">
      <c r="A39" t="s">
        <v>217</v>
      </c>
      <c r="C39">
        <f>COUNTIFS('Data Dump'!$A:$A,Sheet2!$A$37,'Data Dump'!$F:$F,Sheet2!A39)</f>
        <v>53</v>
      </c>
      <c r="D39" s="8" t="e">
        <f>ROUND((C39/$E$37),2)</f>
        <v>#VALUE!</v>
      </c>
      <c r="E39" t="e">
        <f>C39&amp;"  /  "&amp;D39</f>
        <v>#VALUE!</v>
      </c>
      <c r="G39" t="s">
        <v>217</v>
      </c>
      <c r="I39">
        <f>COUNTIFS('Data Dump'!$A:$A,Sheet2!$A$37,'Data Dump'!$F:$F,Sheet2!G39)</f>
        <v>53</v>
      </c>
      <c r="J39" s="8" t="e">
        <f>ROUND((I39/$E$37),2)</f>
        <v>#VALUE!</v>
      </c>
      <c r="K39" t="e">
        <f>I39&amp;"  /  "&amp;J39</f>
        <v>#VALUE!</v>
      </c>
    </row>
    <row r="40" spans="1:11">
      <c r="A40" t="s">
        <v>225</v>
      </c>
      <c r="C40">
        <f>COUNTIFS('Data Dump'!$A:$A,Sheet2!$A$37,'Data Dump'!$F:$F,Sheet2!A40)</f>
        <v>2</v>
      </c>
      <c r="D40" s="8" t="e">
        <f>ROUND((C40/$E$37),2)</f>
        <v>#VALUE!</v>
      </c>
      <c r="E40" t="e">
        <f>C40&amp;"  /  "&amp;D40</f>
        <v>#VALUE!</v>
      </c>
      <c r="G40" t="s">
        <v>225</v>
      </c>
      <c r="I40">
        <f>COUNTIFS('Data Dump'!$A:$A,Sheet2!$A$37,'Data Dump'!$F:$F,Sheet2!G40)</f>
        <v>2</v>
      </c>
      <c r="J40" s="8" t="e">
        <f>ROUND((I40/$E$37),2)</f>
        <v>#VALUE!</v>
      </c>
      <c r="K40" t="e">
        <f>I40&amp;"  /  "&amp;J40</f>
        <v>#VALUE!</v>
      </c>
    </row>
    <row r="41" spans="1:11">
      <c r="A41" t="s">
        <v>14</v>
      </c>
      <c r="C41">
        <f>COUNTIFS('Data Dump'!$A:$A,Sheet2!$A$37,'Data Dump'!$F:$F,Sheet2!A41)</f>
        <v>9</v>
      </c>
      <c r="D41" s="8" t="e">
        <f>ROUND((C41/$E$37),2)</f>
        <v>#VALUE!</v>
      </c>
      <c r="E41" t="e">
        <f>C41&amp;"  /  "&amp;D41</f>
        <v>#VALUE!</v>
      </c>
      <c r="G41" t="s">
        <v>14</v>
      </c>
      <c r="I41">
        <f>COUNTIFS('Data Dump'!$A:$A,Sheet2!$A$37,'Data Dump'!$F:$F,Sheet2!G41)</f>
        <v>9</v>
      </c>
      <c r="J41" s="8" t="e">
        <f>ROUND((I41/$E$37),2)</f>
        <v>#VALUE!</v>
      </c>
      <c r="K41" t="e">
        <f>I41&amp;"  /  "&amp;J41</f>
        <v>#VALUE!</v>
      </c>
    </row>
  </sheetData>
  <mergeCells count="16">
    <mergeCell ref="A32:B32"/>
    <mergeCell ref="A37:B37"/>
    <mergeCell ref="G2:H2"/>
    <mergeCell ref="G7:H7"/>
    <mergeCell ref="G12:H12"/>
    <mergeCell ref="G17:H17"/>
    <mergeCell ref="G22:H22"/>
    <mergeCell ref="G27:H27"/>
    <mergeCell ref="G32:H32"/>
    <mergeCell ref="G37:H37"/>
    <mergeCell ref="A2:B2"/>
    <mergeCell ref="A7:B7"/>
    <mergeCell ref="A12:B12"/>
    <mergeCell ref="A17:B17"/>
    <mergeCell ref="A22:B22"/>
    <mergeCell ref="A27:B27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71"/>
  <sheetViews>
    <sheetView showGridLines="0" zoomScale="80" zoomScaleNormal="80" workbookViewId="0">
      <selection sqref="A1:I1071"/>
    </sheetView>
  </sheetViews>
  <sheetFormatPr defaultRowHeight="15"/>
  <cols>
    <col min="1" max="1" width="36.140625" style="2" bestFit="1" customWidth="1"/>
    <col min="2" max="2" width="52.85546875" style="2" bestFit="1" customWidth="1"/>
    <col min="3" max="3" width="16.7109375" style="2" bestFit="1" customWidth="1"/>
    <col min="4" max="4" width="14.42578125" style="2" bestFit="1" customWidth="1"/>
    <col min="5" max="5" width="16.28515625" style="2" bestFit="1" customWidth="1"/>
    <col min="6" max="6" width="20.42578125" style="2" bestFit="1" customWidth="1"/>
    <col min="7" max="7" width="36.5703125" style="2" bestFit="1" customWidth="1"/>
    <col min="8" max="8" width="17.85546875" style="2" bestFit="1" customWidth="1"/>
    <col min="9" max="9" width="19" style="2" bestFit="1" customWidth="1"/>
    <col min="10" max="16384" width="9.140625" style="2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s">
        <v>120</v>
      </c>
      <c r="B2" s="3" t="s">
        <v>121</v>
      </c>
      <c r="C2" s="3" t="s">
        <v>11</v>
      </c>
      <c r="D2" s="3" t="s">
        <v>91</v>
      </c>
      <c r="E2" s="3" t="s">
        <v>122</v>
      </c>
      <c r="F2" s="3" t="s">
        <v>38</v>
      </c>
      <c r="G2" s="3" t="s">
        <v>123</v>
      </c>
      <c r="H2" s="3" t="s">
        <v>16</v>
      </c>
      <c r="I2" s="3" t="s">
        <v>124</v>
      </c>
    </row>
    <row r="3" spans="1:9">
      <c r="A3" s="3" t="s">
        <v>120</v>
      </c>
      <c r="B3" s="3" t="s">
        <v>121</v>
      </c>
      <c r="C3" s="3" t="s">
        <v>11</v>
      </c>
      <c r="D3" s="3" t="s">
        <v>125</v>
      </c>
      <c r="E3" s="3" t="s">
        <v>126</v>
      </c>
      <c r="F3" s="3" t="s">
        <v>38</v>
      </c>
      <c r="G3" s="3" t="s">
        <v>24</v>
      </c>
      <c r="H3" s="3" t="s">
        <v>16</v>
      </c>
      <c r="I3" s="3" t="s">
        <v>127</v>
      </c>
    </row>
    <row r="4" spans="1:9">
      <c r="A4" s="3" t="s">
        <v>120</v>
      </c>
      <c r="B4" s="3" t="s">
        <v>121</v>
      </c>
      <c r="C4" s="3" t="s">
        <v>11</v>
      </c>
      <c r="D4" s="3" t="s">
        <v>128</v>
      </c>
      <c r="E4" s="3" t="s">
        <v>129</v>
      </c>
      <c r="F4" s="3" t="s">
        <v>38</v>
      </c>
      <c r="G4" s="3" t="s">
        <v>130</v>
      </c>
      <c r="H4" s="3" t="s">
        <v>16</v>
      </c>
      <c r="I4" s="3" t="s">
        <v>131</v>
      </c>
    </row>
    <row r="5" spans="1:9">
      <c r="A5" s="3" t="s">
        <v>120</v>
      </c>
      <c r="B5" s="3" t="s">
        <v>121</v>
      </c>
      <c r="C5" s="3" t="s">
        <v>11</v>
      </c>
      <c r="D5" s="3" t="s">
        <v>132</v>
      </c>
      <c r="E5" s="3" t="s">
        <v>133</v>
      </c>
      <c r="F5" s="3" t="s">
        <v>38</v>
      </c>
      <c r="G5" s="3" t="s">
        <v>134</v>
      </c>
      <c r="H5" s="3" t="s">
        <v>16</v>
      </c>
      <c r="I5" s="3" t="s">
        <v>135</v>
      </c>
    </row>
    <row r="6" spans="1:9">
      <c r="A6" s="3" t="s">
        <v>120</v>
      </c>
      <c r="B6" s="3" t="s">
        <v>121</v>
      </c>
      <c r="C6" s="3" t="s">
        <v>11</v>
      </c>
      <c r="D6" s="3" t="s">
        <v>136</v>
      </c>
      <c r="E6" s="3" t="s">
        <v>137</v>
      </c>
      <c r="F6" s="3" t="s">
        <v>38</v>
      </c>
      <c r="G6" s="3" t="s">
        <v>24</v>
      </c>
      <c r="H6" s="3" t="s">
        <v>16</v>
      </c>
      <c r="I6" s="3" t="s">
        <v>138</v>
      </c>
    </row>
    <row r="7" spans="1:9">
      <c r="A7" s="3" t="s">
        <v>120</v>
      </c>
      <c r="B7" s="3" t="s">
        <v>121</v>
      </c>
      <c r="C7" s="3" t="s">
        <v>11</v>
      </c>
      <c r="D7" s="3" t="s">
        <v>41</v>
      </c>
      <c r="E7" s="3" t="s">
        <v>139</v>
      </c>
      <c r="F7" s="3" t="s">
        <v>38</v>
      </c>
      <c r="G7" s="3" t="s">
        <v>140</v>
      </c>
      <c r="H7" s="3" t="s">
        <v>16</v>
      </c>
      <c r="I7" s="3" t="s">
        <v>141</v>
      </c>
    </row>
    <row r="8" spans="1:9">
      <c r="A8" s="3" t="s">
        <v>120</v>
      </c>
      <c r="B8" s="3" t="s">
        <v>121</v>
      </c>
      <c r="C8" s="3" t="s">
        <v>11</v>
      </c>
      <c r="D8" s="3" t="s">
        <v>142</v>
      </c>
      <c r="E8" s="3" t="s">
        <v>143</v>
      </c>
      <c r="F8" s="3" t="s">
        <v>38</v>
      </c>
      <c r="G8" s="3" t="s">
        <v>144</v>
      </c>
      <c r="H8" s="3" t="s">
        <v>16</v>
      </c>
      <c r="I8" s="3" t="s">
        <v>145</v>
      </c>
    </row>
    <row r="9" spans="1:9">
      <c r="A9" s="3" t="s">
        <v>120</v>
      </c>
      <c r="B9" s="3" t="s">
        <v>1991</v>
      </c>
      <c r="C9" s="3" t="s">
        <v>1588</v>
      </c>
      <c r="D9" s="3" t="s">
        <v>553</v>
      </c>
      <c r="E9" s="3" t="s">
        <v>2010</v>
      </c>
      <c r="F9" s="3" t="s">
        <v>217</v>
      </c>
      <c r="G9" s="3" t="s">
        <v>2011</v>
      </c>
      <c r="H9" s="3" t="s">
        <v>16</v>
      </c>
      <c r="I9" s="3" t="s">
        <v>2012</v>
      </c>
    </row>
    <row r="10" spans="1:9">
      <c r="A10" s="3" t="s">
        <v>120</v>
      </c>
      <c r="B10" s="3" t="s">
        <v>1679</v>
      </c>
      <c r="C10" s="3" t="s">
        <v>1588</v>
      </c>
      <c r="D10" s="3" t="s">
        <v>257</v>
      </c>
      <c r="E10" s="3" t="s">
        <v>2088</v>
      </c>
      <c r="F10" s="3" t="s">
        <v>217</v>
      </c>
      <c r="G10" s="3" t="s">
        <v>422</v>
      </c>
      <c r="H10" s="3" t="s">
        <v>16</v>
      </c>
      <c r="I10" s="3" t="s">
        <v>2089</v>
      </c>
    </row>
    <row r="11" spans="1:9">
      <c r="A11" s="3" t="s">
        <v>120</v>
      </c>
      <c r="B11" s="3" t="s">
        <v>1679</v>
      </c>
      <c r="C11" s="3" t="s">
        <v>1588</v>
      </c>
      <c r="D11" s="3" t="s">
        <v>1311</v>
      </c>
      <c r="E11" s="3" t="s">
        <v>2090</v>
      </c>
      <c r="F11" s="3" t="s">
        <v>217</v>
      </c>
      <c r="G11" s="3" t="s">
        <v>2091</v>
      </c>
      <c r="H11" s="3" t="s">
        <v>16</v>
      </c>
      <c r="I11" s="3" t="s">
        <v>2092</v>
      </c>
    </row>
    <row r="12" spans="1:9">
      <c r="A12" s="3" t="s">
        <v>120</v>
      </c>
      <c r="B12" s="3" t="s">
        <v>1600</v>
      </c>
      <c r="C12" s="3" t="s">
        <v>1588</v>
      </c>
      <c r="D12" s="3" t="s">
        <v>321</v>
      </c>
      <c r="E12" s="3" t="s">
        <v>1601</v>
      </c>
      <c r="F12" s="3" t="s">
        <v>38</v>
      </c>
      <c r="G12" s="3" t="s">
        <v>1602</v>
      </c>
      <c r="H12" s="3" t="s">
        <v>323</v>
      </c>
      <c r="I12" s="3" t="s">
        <v>1603</v>
      </c>
    </row>
    <row r="13" spans="1:9">
      <c r="A13" s="3" t="s">
        <v>120</v>
      </c>
      <c r="B13" s="3" t="s">
        <v>1608</v>
      </c>
      <c r="C13" s="3" t="s">
        <v>1588</v>
      </c>
      <c r="D13" s="3" t="s">
        <v>605</v>
      </c>
      <c r="E13" s="3" t="s">
        <v>1609</v>
      </c>
      <c r="F13" s="3" t="s">
        <v>38</v>
      </c>
      <c r="G13" s="3" t="s">
        <v>385</v>
      </c>
      <c r="H13" s="3" t="s">
        <v>323</v>
      </c>
      <c r="I13" s="3" t="s">
        <v>1610</v>
      </c>
    </row>
    <row r="14" spans="1:9">
      <c r="A14" s="3" t="s">
        <v>120</v>
      </c>
      <c r="B14" s="3" t="s">
        <v>1611</v>
      </c>
      <c r="C14" s="3" t="s">
        <v>1588</v>
      </c>
      <c r="D14" s="3" t="s">
        <v>328</v>
      </c>
      <c r="E14" s="3" t="s">
        <v>1612</v>
      </c>
      <c r="F14" s="3" t="s">
        <v>14</v>
      </c>
      <c r="G14" s="3" t="s">
        <v>1613</v>
      </c>
      <c r="H14" s="3" t="s">
        <v>323</v>
      </c>
      <c r="I14" s="3" t="s">
        <v>1614</v>
      </c>
    </row>
    <row r="15" spans="1:9">
      <c r="A15" s="3" t="s">
        <v>120</v>
      </c>
      <c r="B15" s="3" t="s">
        <v>1679</v>
      </c>
      <c r="C15" s="3" t="s">
        <v>1588</v>
      </c>
      <c r="D15" s="3" t="s">
        <v>132</v>
      </c>
      <c r="E15" s="3" t="s">
        <v>2093</v>
      </c>
      <c r="F15" s="3" t="s">
        <v>217</v>
      </c>
      <c r="G15" s="3" t="s">
        <v>849</v>
      </c>
      <c r="H15" s="3" t="s">
        <v>16</v>
      </c>
      <c r="I15" s="3" t="s">
        <v>2094</v>
      </c>
    </row>
    <row r="16" spans="1:9">
      <c r="A16" s="3" t="s">
        <v>120</v>
      </c>
      <c r="B16" s="3" t="s">
        <v>1615</v>
      </c>
      <c r="C16" s="3" t="s">
        <v>1588</v>
      </c>
      <c r="D16" s="3" t="s">
        <v>1618</v>
      </c>
      <c r="E16" s="3" t="s">
        <v>1619</v>
      </c>
      <c r="F16" s="3" t="s">
        <v>38</v>
      </c>
      <c r="G16" s="3" t="s">
        <v>1620</v>
      </c>
      <c r="H16" s="3" t="s">
        <v>323</v>
      </c>
      <c r="I16" s="3" t="s">
        <v>1621</v>
      </c>
    </row>
    <row r="17" spans="1:9">
      <c r="A17" s="3" t="s">
        <v>120</v>
      </c>
      <c r="B17" s="3" t="s">
        <v>1600</v>
      </c>
      <c r="C17" s="3" t="s">
        <v>1588</v>
      </c>
      <c r="D17" s="3" t="s">
        <v>155</v>
      </c>
      <c r="E17" s="3" t="s">
        <v>1622</v>
      </c>
      <c r="F17" s="3" t="s">
        <v>38</v>
      </c>
      <c r="G17" s="3" t="s">
        <v>620</v>
      </c>
      <c r="H17" s="3" t="s">
        <v>323</v>
      </c>
      <c r="I17" s="3" t="s">
        <v>1623</v>
      </c>
    </row>
    <row r="18" spans="1:9">
      <c r="A18" s="3" t="s">
        <v>120</v>
      </c>
      <c r="B18" s="3" t="s">
        <v>1679</v>
      </c>
      <c r="C18" s="3" t="s">
        <v>1588</v>
      </c>
      <c r="D18" s="3" t="s">
        <v>885</v>
      </c>
      <c r="E18" s="3" t="s">
        <v>2095</v>
      </c>
      <c r="F18" s="3" t="s">
        <v>217</v>
      </c>
      <c r="G18" s="3" t="s">
        <v>849</v>
      </c>
      <c r="H18" s="3" t="s">
        <v>16</v>
      </c>
      <c r="I18" s="3" t="s">
        <v>2096</v>
      </c>
    </row>
    <row r="19" spans="1:9">
      <c r="A19" s="3" t="s">
        <v>120</v>
      </c>
      <c r="B19" s="3" t="s">
        <v>1600</v>
      </c>
      <c r="C19" s="3" t="s">
        <v>1588</v>
      </c>
      <c r="D19" s="3" t="s">
        <v>1629</v>
      </c>
      <c r="E19" s="3" t="s">
        <v>1630</v>
      </c>
      <c r="F19" s="3" t="s">
        <v>38</v>
      </c>
      <c r="G19" s="3" t="s">
        <v>1631</v>
      </c>
      <c r="H19" s="3" t="s">
        <v>323</v>
      </c>
      <c r="I19" s="3" t="s">
        <v>1632</v>
      </c>
    </row>
    <row r="20" spans="1:9">
      <c r="A20" s="3" t="s">
        <v>120</v>
      </c>
      <c r="B20" s="3" t="s">
        <v>1657</v>
      </c>
      <c r="C20" s="3" t="s">
        <v>1588</v>
      </c>
      <c r="D20" s="3" t="s">
        <v>103</v>
      </c>
      <c r="E20" s="3" t="s">
        <v>1493</v>
      </c>
      <c r="F20" s="3" t="s">
        <v>225</v>
      </c>
      <c r="G20" s="3" t="s">
        <v>439</v>
      </c>
      <c r="H20" s="3" t="s">
        <v>16</v>
      </c>
      <c r="I20" s="3" t="s">
        <v>1658</v>
      </c>
    </row>
    <row r="21" spans="1:9">
      <c r="A21" s="3" t="s">
        <v>120</v>
      </c>
      <c r="B21" s="3" t="s">
        <v>1659</v>
      </c>
      <c r="C21" s="3" t="s">
        <v>1588</v>
      </c>
      <c r="D21" s="3" t="s">
        <v>862</v>
      </c>
      <c r="E21" s="3" t="s">
        <v>1660</v>
      </c>
      <c r="F21" s="3" t="s">
        <v>225</v>
      </c>
      <c r="G21" s="3" t="s">
        <v>1661</v>
      </c>
      <c r="H21" s="3" t="s">
        <v>323</v>
      </c>
      <c r="I21" s="3" t="s">
        <v>1662</v>
      </c>
    </row>
    <row r="22" spans="1:9">
      <c r="A22" s="3" t="s">
        <v>120</v>
      </c>
      <c r="B22" s="3" t="s">
        <v>1663</v>
      </c>
      <c r="C22" s="3" t="s">
        <v>1588</v>
      </c>
      <c r="D22" s="3" t="s">
        <v>107</v>
      </c>
      <c r="E22" s="3" t="s">
        <v>1664</v>
      </c>
      <c r="F22" s="3" t="s">
        <v>38</v>
      </c>
      <c r="G22" s="3" t="s">
        <v>1665</v>
      </c>
      <c r="H22" s="3" t="s">
        <v>16</v>
      </c>
      <c r="I22" s="3" t="s">
        <v>1666</v>
      </c>
    </row>
    <row r="23" spans="1:9">
      <c r="A23" s="3" t="s">
        <v>120</v>
      </c>
      <c r="B23" s="3" t="s">
        <v>1679</v>
      </c>
      <c r="C23" s="3" t="s">
        <v>1588</v>
      </c>
      <c r="D23" s="3" t="s">
        <v>2097</v>
      </c>
      <c r="E23" s="3" t="s">
        <v>2098</v>
      </c>
      <c r="F23" s="3" t="s">
        <v>217</v>
      </c>
      <c r="G23" s="3" t="s">
        <v>2099</v>
      </c>
      <c r="H23" s="3" t="s">
        <v>16</v>
      </c>
      <c r="I23" s="3" t="s">
        <v>2100</v>
      </c>
    </row>
    <row r="24" spans="1:9">
      <c r="A24" s="3" t="s">
        <v>120</v>
      </c>
      <c r="B24" s="3" t="s">
        <v>1672</v>
      </c>
      <c r="C24" s="3" t="s">
        <v>1588</v>
      </c>
      <c r="D24" s="3" t="s">
        <v>215</v>
      </c>
      <c r="E24" s="3" t="s">
        <v>1673</v>
      </c>
      <c r="F24" s="3" t="s">
        <v>38</v>
      </c>
      <c r="G24" s="3" t="s">
        <v>1674</v>
      </c>
      <c r="H24" s="3" t="s">
        <v>323</v>
      </c>
      <c r="I24" s="3" t="s">
        <v>1675</v>
      </c>
    </row>
    <row r="25" spans="1:9">
      <c r="A25" s="3" t="s">
        <v>120</v>
      </c>
      <c r="B25" s="3" t="s">
        <v>1676</v>
      </c>
      <c r="C25" s="3" t="s">
        <v>1588</v>
      </c>
      <c r="D25" s="3" t="s">
        <v>415</v>
      </c>
      <c r="E25" s="3" t="s">
        <v>1677</v>
      </c>
      <c r="F25" s="3" t="s">
        <v>38</v>
      </c>
      <c r="G25" s="3"/>
      <c r="H25" s="3" t="s">
        <v>323</v>
      </c>
      <c r="I25" s="3" t="s">
        <v>1678</v>
      </c>
    </row>
    <row r="26" spans="1:9">
      <c r="A26" s="3" t="s">
        <v>120</v>
      </c>
      <c r="B26" s="3" t="s">
        <v>1679</v>
      </c>
      <c r="C26" s="3" t="s">
        <v>1588</v>
      </c>
      <c r="D26" s="3" t="s">
        <v>358</v>
      </c>
      <c r="E26" s="3" t="s">
        <v>1680</v>
      </c>
      <c r="F26" s="3" t="s">
        <v>14</v>
      </c>
      <c r="G26" s="3" t="s">
        <v>422</v>
      </c>
      <c r="H26" s="3" t="s">
        <v>323</v>
      </c>
      <c r="I26" s="3" t="s">
        <v>1681</v>
      </c>
    </row>
    <row r="27" spans="1:9">
      <c r="A27" s="3" t="s">
        <v>120</v>
      </c>
      <c r="B27" s="3" t="s">
        <v>1682</v>
      </c>
      <c r="C27" s="3" t="s">
        <v>1588</v>
      </c>
      <c r="D27" s="3" t="s">
        <v>1683</v>
      </c>
      <c r="E27" s="3" t="s">
        <v>1684</v>
      </c>
      <c r="F27" s="3" t="s">
        <v>38</v>
      </c>
      <c r="G27" s="3" t="s">
        <v>890</v>
      </c>
      <c r="H27" s="3" t="s">
        <v>323</v>
      </c>
      <c r="I27" s="3" t="s">
        <v>1685</v>
      </c>
    </row>
    <row r="28" spans="1:9">
      <c r="A28" s="3" t="s">
        <v>120</v>
      </c>
      <c r="B28" s="3" t="s">
        <v>1686</v>
      </c>
      <c r="C28" s="3" t="s">
        <v>1588</v>
      </c>
      <c r="D28" s="3" t="s">
        <v>553</v>
      </c>
      <c r="E28" s="3" t="s">
        <v>1687</v>
      </c>
      <c r="F28" s="3" t="s">
        <v>38</v>
      </c>
      <c r="G28" s="3" t="s">
        <v>1688</v>
      </c>
      <c r="H28" s="3" t="s">
        <v>16</v>
      </c>
      <c r="I28" s="3" t="s">
        <v>1689</v>
      </c>
    </row>
    <row r="29" spans="1:9">
      <c r="A29" s="3" t="s">
        <v>120</v>
      </c>
      <c r="B29" s="3" t="s">
        <v>1690</v>
      </c>
      <c r="C29" s="3" t="s">
        <v>1588</v>
      </c>
      <c r="D29" s="3" t="s">
        <v>313</v>
      </c>
      <c r="E29" s="3" t="s">
        <v>1691</v>
      </c>
      <c r="F29" s="3" t="s">
        <v>38</v>
      </c>
      <c r="G29" s="3" t="s">
        <v>1692</v>
      </c>
      <c r="H29" s="3" t="s">
        <v>323</v>
      </c>
      <c r="I29" s="3" t="s">
        <v>1693</v>
      </c>
    </row>
    <row r="30" spans="1:9">
      <c r="A30" s="3" t="s">
        <v>120</v>
      </c>
      <c r="B30" s="3" t="s">
        <v>1694</v>
      </c>
      <c r="C30" s="3" t="s">
        <v>1588</v>
      </c>
      <c r="D30" s="3" t="s">
        <v>1695</v>
      </c>
      <c r="E30" s="3" t="s">
        <v>610</v>
      </c>
      <c r="F30" s="3" t="s">
        <v>14</v>
      </c>
      <c r="G30" s="3" t="s">
        <v>890</v>
      </c>
      <c r="H30" s="3" t="s">
        <v>16</v>
      </c>
      <c r="I30" s="3" t="s">
        <v>1696</v>
      </c>
    </row>
    <row r="31" spans="1:9">
      <c r="A31" s="3" t="s">
        <v>120</v>
      </c>
      <c r="B31" s="3" t="s">
        <v>1697</v>
      </c>
      <c r="C31" s="3" t="s">
        <v>1588</v>
      </c>
      <c r="D31" s="3" t="s">
        <v>605</v>
      </c>
      <c r="E31" s="3" t="s">
        <v>200</v>
      </c>
      <c r="F31" s="3" t="s">
        <v>38</v>
      </c>
      <c r="G31" s="3" t="s">
        <v>1698</v>
      </c>
      <c r="H31" s="3" t="s">
        <v>16</v>
      </c>
      <c r="I31" s="3" t="s">
        <v>1699</v>
      </c>
    </row>
    <row r="32" spans="1:9">
      <c r="A32" s="3" t="s">
        <v>120</v>
      </c>
      <c r="B32" s="3" t="s">
        <v>1700</v>
      </c>
      <c r="C32" s="3" t="s">
        <v>1588</v>
      </c>
      <c r="D32" s="3" t="s">
        <v>266</v>
      </c>
      <c r="E32" s="3" t="s">
        <v>1701</v>
      </c>
      <c r="F32" s="3" t="s">
        <v>38</v>
      </c>
      <c r="G32" s="3" t="s">
        <v>1702</v>
      </c>
      <c r="H32" s="3" t="s">
        <v>323</v>
      </c>
      <c r="I32" s="3" t="s">
        <v>1703</v>
      </c>
    </row>
    <row r="33" spans="1:9">
      <c r="A33" s="3" t="s">
        <v>120</v>
      </c>
      <c r="B33" s="3" t="s">
        <v>1704</v>
      </c>
      <c r="C33" s="3" t="s">
        <v>1588</v>
      </c>
      <c r="D33" s="3" t="s">
        <v>447</v>
      </c>
      <c r="E33" s="3" t="s">
        <v>1705</v>
      </c>
      <c r="F33" s="3" t="s">
        <v>38</v>
      </c>
      <c r="G33" s="3" t="s">
        <v>890</v>
      </c>
      <c r="H33" s="3" t="s">
        <v>323</v>
      </c>
      <c r="I33" s="3" t="s">
        <v>1706</v>
      </c>
    </row>
    <row r="34" spans="1:9">
      <c r="A34" s="3" t="s">
        <v>120</v>
      </c>
      <c r="B34" s="3" t="s">
        <v>1707</v>
      </c>
      <c r="C34" s="3" t="s">
        <v>1588</v>
      </c>
      <c r="D34" s="3" t="s">
        <v>1708</v>
      </c>
      <c r="E34" s="3" t="s">
        <v>1709</v>
      </c>
      <c r="F34" s="3" t="s">
        <v>38</v>
      </c>
      <c r="G34" s="3" t="s">
        <v>1710</v>
      </c>
      <c r="H34" s="3" t="s">
        <v>16</v>
      </c>
      <c r="I34" s="3" t="s">
        <v>1711</v>
      </c>
    </row>
    <row r="35" spans="1:9">
      <c r="A35" s="3" t="s">
        <v>120</v>
      </c>
      <c r="B35" s="3" t="s">
        <v>2060</v>
      </c>
      <c r="C35" s="3" t="s">
        <v>1588</v>
      </c>
      <c r="D35" s="3" t="s">
        <v>2061</v>
      </c>
      <c r="E35" s="3" t="s">
        <v>2062</v>
      </c>
      <c r="F35" s="3" t="s">
        <v>217</v>
      </c>
      <c r="G35" s="3" t="s">
        <v>674</v>
      </c>
      <c r="H35" s="3" t="s">
        <v>16</v>
      </c>
      <c r="I35" s="3" t="s">
        <v>2063</v>
      </c>
    </row>
    <row r="36" spans="1:9">
      <c r="A36" s="3" t="s">
        <v>120</v>
      </c>
      <c r="B36" s="3" t="s">
        <v>1717</v>
      </c>
      <c r="C36" s="3" t="s">
        <v>1588</v>
      </c>
      <c r="D36" s="3" t="s">
        <v>595</v>
      </c>
      <c r="E36" s="3" t="s">
        <v>1718</v>
      </c>
      <c r="F36" s="3" t="s">
        <v>38</v>
      </c>
      <c r="G36" s="3" t="s">
        <v>1203</v>
      </c>
      <c r="H36" s="3" t="s">
        <v>16</v>
      </c>
      <c r="I36" s="3" t="s">
        <v>1719</v>
      </c>
    </row>
    <row r="37" spans="1:9">
      <c r="A37" s="3" t="s">
        <v>120</v>
      </c>
      <c r="B37" s="3" t="s">
        <v>1720</v>
      </c>
      <c r="C37" s="3" t="s">
        <v>1588</v>
      </c>
      <c r="D37" s="3" t="s">
        <v>239</v>
      </c>
      <c r="E37" s="3" t="s">
        <v>1721</v>
      </c>
      <c r="F37" s="3" t="s">
        <v>38</v>
      </c>
      <c r="G37" s="3" t="s">
        <v>506</v>
      </c>
      <c r="H37" s="3" t="s">
        <v>16</v>
      </c>
      <c r="I37" s="3" t="s">
        <v>1722</v>
      </c>
    </row>
    <row r="38" spans="1:9">
      <c r="A38" s="3" t="s">
        <v>120</v>
      </c>
      <c r="B38" s="3" t="s">
        <v>1723</v>
      </c>
      <c r="C38" s="3" t="s">
        <v>1588</v>
      </c>
      <c r="D38" s="3" t="s">
        <v>1724</v>
      </c>
      <c r="E38" s="3" t="s">
        <v>1725</v>
      </c>
      <c r="F38" s="3" t="s">
        <v>225</v>
      </c>
      <c r="G38" s="3" t="s">
        <v>1726</v>
      </c>
      <c r="H38" s="3" t="s">
        <v>16</v>
      </c>
      <c r="I38" s="3" t="s">
        <v>1727</v>
      </c>
    </row>
    <row r="39" spans="1:9">
      <c r="A39" s="3" t="s">
        <v>120</v>
      </c>
      <c r="B39" s="3" t="s">
        <v>1728</v>
      </c>
      <c r="C39" s="3" t="s">
        <v>1588</v>
      </c>
      <c r="D39" s="3"/>
      <c r="E39" s="3" t="s">
        <v>1729</v>
      </c>
      <c r="F39" s="3" t="s">
        <v>38</v>
      </c>
      <c r="G39" s="3"/>
      <c r="H39" s="3" t="s">
        <v>16</v>
      </c>
      <c r="I39" s="3" t="s">
        <v>1730</v>
      </c>
    </row>
    <row r="40" spans="1:9">
      <c r="A40" s="3" t="s">
        <v>120</v>
      </c>
      <c r="B40" s="3" t="s">
        <v>1731</v>
      </c>
      <c r="C40" s="3" t="s">
        <v>1588</v>
      </c>
      <c r="D40" s="3" t="s">
        <v>107</v>
      </c>
      <c r="E40" s="3" t="s">
        <v>435</v>
      </c>
      <c r="F40" s="3" t="s">
        <v>14</v>
      </c>
      <c r="G40" s="3" t="s">
        <v>1128</v>
      </c>
      <c r="H40" s="3" t="s">
        <v>16</v>
      </c>
      <c r="I40" s="3" t="s">
        <v>1732</v>
      </c>
    </row>
    <row r="41" spans="1:9">
      <c r="A41" s="3" t="s">
        <v>120</v>
      </c>
      <c r="B41" s="3" t="s">
        <v>1733</v>
      </c>
      <c r="C41" s="3" t="s">
        <v>1588</v>
      </c>
      <c r="D41" s="3" t="s">
        <v>228</v>
      </c>
      <c r="E41" s="3" t="s">
        <v>1734</v>
      </c>
      <c r="F41" s="3" t="s">
        <v>38</v>
      </c>
      <c r="G41" s="3" t="s">
        <v>620</v>
      </c>
      <c r="H41" s="3" t="s">
        <v>16</v>
      </c>
      <c r="I41" s="3" t="s">
        <v>1735</v>
      </c>
    </row>
    <row r="42" spans="1:9">
      <c r="A42" s="3" t="s">
        <v>120</v>
      </c>
      <c r="B42" s="3" t="s">
        <v>1760</v>
      </c>
      <c r="C42" s="3" t="s">
        <v>1588</v>
      </c>
      <c r="D42" s="3" t="s">
        <v>1761</v>
      </c>
      <c r="E42" s="3" t="s">
        <v>1762</v>
      </c>
      <c r="F42" s="3" t="s">
        <v>217</v>
      </c>
      <c r="G42" s="3" t="s">
        <v>890</v>
      </c>
      <c r="H42" s="3" t="s">
        <v>16</v>
      </c>
      <c r="I42" s="3" t="s">
        <v>1763</v>
      </c>
    </row>
    <row r="43" spans="1:9">
      <c r="A43" s="3" t="s">
        <v>120</v>
      </c>
      <c r="B43" s="3" t="s">
        <v>1608</v>
      </c>
      <c r="C43" s="3" t="s">
        <v>1588</v>
      </c>
      <c r="D43" s="3" t="s">
        <v>358</v>
      </c>
      <c r="E43" s="3" t="s">
        <v>1739</v>
      </c>
      <c r="F43" s="3" t="s">
        <v>38</v>
      </c>
      <c r="G43" s="3" t="s">
        <v>1740</v>
      </c>
      <c r="H43" s="3" t="s">
        <v>16</v>
      </c>
      <c r="I43" s="3" t="s">
        <v>1741</v>
      </c>
    </row>
    <row r="44" spans="1:9">
      <c r="A44" s="3" t="s">
        <v>120</v>
      </c>
      <c r="B44" s="3" t="s">
        <v>1742</v>
      </c>
      <c r="C44" s="3" t="s">
        <v>1588</v>
      </c>
      <c r="D44" s="3" t="s">
        <v>1743</v>
      </c>
      <c r="E44" s="3" t="s">
        <v>1744</v>
      </c>
      <c r="F44" s="3" t="s">
        <v>38</v>
      </c>
      <c r="G44" s="3" t="s">
        <v>1745</v>
      </c>
      <c r="H44" s="3" t="s">
        <v>323</v>
      </c>
      <c r="I44" s="3" t="s">
        <v>1746</v>
      </c>
    </row>
    <row r="45" spans="1:9">
      <c r="A45" s="3" t="s">
        <v>120</v>
      </c>
      <c r="B45" s="3" t="s">
        <v>1747</v>
      </c>
      <c r="C45" s="3" t="s">
        <v>1588</v>
      </c>
      <c r="D45" s="3" t="s">
        <v>1748</v>
      </c>
      <c r="E45" s="3" t="s">
        <v>1749</v>
      </c>
      <c r="F45" s="3" t="s">
        <v>38</v>
      </c>
      <c r="G45" s="3" t="s">
        <v>1082</v>
      </c>
      <c r="H45" s="3" t="s">
        <v>16</v>
      </c>
      <c r="I45" s="3" t="s">
        <v>1750</v>
      </c>
    </row>
    <row r="46" spans="1:9">
      <c r="A46" s="3" t="s">
        <v>120</v>
      </c>
      <c r="B46" s="3" t="s">
        <v>1751</v>
      </c>
      <c r="C46" s="3" t="s">
        <v>1588</v>
      </c>
      <c r="D46" s="3" t="s">
        <v>461</v>
      </c>
      <c r="E46" s="3" t="s">
        <v>1752</v>
      </c>
      <c r="F46" s="3" t="s">
        <v>38</v>
      </c>
      <c r="G46" s="3" t="s">
        <v>1753</v>
      </c>
      <c r="H46" s="3" t="s">
        <v>323</v>
      </c>
      <c r="I46" s="3" t="s">
        <v>1754</v>
      </c>
    </row>
    <row r="47" spans="1:9">
      <c r="A47" s="3" t="s">
        <v>120</v>
      </c>
      <c r="B47" s="3" t="s">
        <v>1755</v>
      </c>
      <c r="C47" s="3" t="s">
        <v>1588</v>
      </c>
      <c r="D47" s="3" t="s">
        <v>1756</v>
      </c>
      <c r="E47" s="3" t="s">
        <v>1757</v>
      </c>
      <c r="F47" s="3" t="s">
        <v>38</v>
      </c>
      <c r="G47" s="3" t="s">
        <v>1758</v>
      </c>
      <c r="H47" s="3" t="s">
        <v>16</v>
      </c>
      <c r="I47" s="3" t="s">
        <v>1759</v>
      </c>
    </row>
    <row r="48" spans="1:9">
      <c r="A48" s="3" t="s">
        <v>120</v>
      </c>
      <c r="B48" s="3" t="s">
        <v>1760</v>
      </c>
      <c r="C48" s="3" t="s">
        <v>1588</v>
      </c>
      <c r="D48" s="3" t="s">
        <v>336</v>
      </c>
      <c r="E48" s="3" t="s">
        <v>1833</v>
      </c>
      <c r="F48" s="3" t="s">
        <v>217</v>
      </c>
      <c r="G48" s="3" t="s">
        <v>607</v>
      </c>
      <c r="H48" s="3" t="s">
        <v>16</v>
      </c>
      <c r="I48" s="3" t="s">
        <v>1834</v>
      </c>
    </row>
    <row r="49" spans="1:9">
      <c r="A49" s="3" t="s">
        <v>120</v>
      </c>
      <c r="B49" s="3" t="s">
        <v>1764</v>
      </c>
      <c r="C49" s="3" t="s">
        <v>1588</v>
      </c>
      <c r="D49" s="3" t="s">
        <v>367</v>
      </c>
      <c r="E49" s="3" t="s">
        <v>1765</v>
      </c>
      <c r="F49" s="3" t="s">
        <v>38</v>
      </c>
      <c r="G49" s="3" t="s">
        <v>1766</v>
      </c>
      <c r="H49" s="3" t="s">
        <v>323</v>
      </c>
      <c r="I49" s="3" t="s">
        <v>1767</v>
      </c>
    </row>
    <row r="50" spans="1:9">
      <c r="A50" s="3" t="s">
        <v>120</v>
      </c>
      <c r="B50" s="3" t="s">
        <v>1679</v>
      </c>
      <c r="C50" s="3" t="s">
        <v>1588</v>
      </c>
      <c r="D50" s="3" t="s">
        <v>1768</v>
      </c>
      <c r="E50" s="3" t="s">
        <v>1769</v>
      </c>
      <c r="F50" s="3" t="s">
        <v>14</v>
      </c>
      <c r="G50" s="3" t="s">
        <v>1770</v>
      </c>
      <c r="H50" s="3" t="s">
        <v>323</v>
      </c>
      <c r="I50" s="3" t="s">
        <v>1771</v>
      </c>
    </row>
    <row r="51" spans="1:9">
      <c r="A51" s="3" t="s">
        <v>120</v>
      </c>
      <c r="B51" s="3" t="s">
        <v>1772</v>
      </c>
      <c r="C51" s="3" t="s">
        <v>1588</v>
      </c>
      <c r="D51" s="3" t="s">
        <v>215</v>
      </c>
      <c r="E51" s="3" t="s">
        <v>846</v>
      </c>
      <c r="F51" s="3" t="s">
        <v>38</v>
      </c>
      <c r="G51" s="3" t="s">
        <v>1773</v>
      </c>
      <c r="H51" s="3" t="s">
        <v>323</v>
      </c>
      <c r="I51" s="3" t="s">
        <v>1774</v>
      </c>
    </row>
    <row r="52" spans="1:9">
      <c r="A52" s="3" t="s">
        <v>120</v>
      </c>
      <c r="B52" s="3" t="s">
        <v>1760</v>
      </c>
      <c r="C52" s="3" t="s">
        <v>1588</v>
      </c>
      <c r="D52" s="3" t="s">
        <v>1835</v>
      </c>
      <c r="E52" s="3" t="s">
        <v>1836</v>
      </c>
      <c r="F52" s="3" t="s">
        <v>217</v>
      </c>
      <c r="G52" s="3" t="s">
        <v>264</v>
      </c>
      <c r="H52" s="3" t="s">
        <v>16</v>
      </c>
      <c r="I52" s="3" t="s">
        <v>1837</v>
      </c>
    </row>
    <row r="53" spans="1:9">
      <c r="A53" s="3" t="s">
        <v>120</v>
      </c>
      <c r="B53" s="3" t="s">
        <v>1611</v>
      </c>
      <c r="C53" s="3" t="s">
        <v>1588</v>
      </c>
      <c r="D53" s="3" t="s">
        <v>18</v>
      </c>
      <c r="E53" s="3" t="s">
        <v>2131</v>
      </c>
      <c r="F53" s="3" t="s">
        <v>217</v>
      </c>
      <c r="G53" s="3" t="s">
        <v>1185</v>
      </c>
      <c r="H53" s="3" t="s">
        <v>16</v>
      </c>
      <c r="I53" s="3" t="s">
        <v>2132</v>
      </c>
    </row>
    <row r="54" spans="1:9">
      <c r="A54" s="3" t="s">
        <v>120</v>
      </c>
      <c r="B54" s="3" t="s">
        <v>1679</v>
      </c>
      <c r="C54" s="3" t="s">
        <v>1588</v>
      </c>
      <c r="D54" s="3" t="s">
        <v>885</v>
      </c>
      <c r="E54" s="3" t="s">
        <v>1783</v>
      </c>
      <c r="F54" s="3" t="s">
        <v>14</v>
      </c>
      <c r="G54" s="3" t="s">
        <v>1784</v>
      </c>
      <c r="H54" s="3" t="s">
        <v>16</v>
      </c>
      <c r="I54" s="3" t="s">
        <v>1785</v>
      </c>
    </row>
    <row r="55" spans="1:9">
      <c r="A55" s="3" t="s">
        <v>120</v>
      </c>
      <c r="B55" s="3" t="s">
        <v>1786</v>
      </c>
      <c r="C55" s="3" t="s">
        <v>1588</v>
      </c>
      <c r="D55" s="3"/>
      <c r="E55" s="3" t="s">
        <v>1781</v>
      </c>
      <c r="F55" s="3" t="s">
        <v>38</v>
      </c>
      <c r="G55" s="3"/>
      <c r="H55" s="3" t="s">
        <v>16</v>
      </c>
      <c r="I55" s="3" t="s">
        <v>1787</v>
      </c>
    </row>
    <row r="56" spans="1:9">
      <c r="A56" s="3" t="s">
        <v>120</v>
      </c>
      <c r="B56" s="3" t="s">
        <v>1788</v>
      </c>
      <c r="C56" s="3" t="s">
        <v>1588</v>
      </c>
      <c r="D56" s="3"/>
      <c r="E56" s="3" t="s">
        <v>1781</v>
      </c>
      <c r="F56" s="3" t="s">
        <v>38</v>
      </c>
      <c r="G56" s="3"/>
      <c r="H56" s="3" t="s">
        <v>16</v>
      </c>
      <c r="I56" s="3" t="s">
        <v>1789</v>
      </c>
    </row>
    <row r="57" spans="1:9">
      <c r="A57" s="3" t="s">
        <v>120</v>
      </c>
      <c r="B57" s="3" t="s">
        <v>1790</v>
      </c>
      <c r="C57" s="3" t="s">
        <v>1588</v>
      </c>
      <c r="D57" s="3"/>
      <c r="E57" s="3" t="s">
        <v>1781</v>
      </c>
      <c r="F57" s="3" t="s">
        <v>38</v>
      </c>
      <c r="G57" s="3"/>
      <c r="H57" s="3" t="s">
        <v>16</v>
      </c>
      <c r="I57" s="3" t="s">
        <v>1791</v>
      </c>
    </row>
    <row r="58" spans="1:9">
      <c r="A58" s="3" t="s">
        <v>120</v>
      </c>
      <c r="B58" s="3" t="s">
        <v>1733</v>
      </c>
      <c r="C58" s="3" t="s">
        <v>1588</v>
      </c>
      <c r="D58" s="3"/>
      <c r="E58" s="3" t="s">
        <v>1792</v>
      </c>
      <c r="F58" s="3" t="s">
        <v>38</v>
      </c>
      <c r="G58" s="3"/>
      <c r="H58" s="3" t="s">
        <v>16</v>
      </c>
      <c r="I58" s="3" t="s">
        <v>1793</v>
      </c>
    </row>
    <row r="59" spans="1:9">
      <c r="A59" s="3" t="s">
        <v>120</v>
      </c>
      <c r="B59" s="3" t="s">
        <v>1672</v>
      </c>
      <c r="C59" s="3" t="s">
        <v>1588</v>
      </c>
      <c r="D59" s="3"/>
      <c r="E59" s="3" t="s">
        <v>1781</v>
      </c>
      <c r="F59" s="3" t="s">
        <v>38</v>
      </c>
      <c r="G59" s="3"/>
      <c r="H59" s="3" t="s">
        <v>16</v>
      </c>
      <c r="I59" s="3" t="s">
        <v>1794</v>
      </c>
    </row>
    <row r="60" spans="1:9">
      <c r="A60" s="3" t="s">
        <v>120</v>
      </c>
      <c r="B60" s="3" t="s">
        <v>2050</v>
      </c>
      <c r="C60" s="3" t="s">
        <v>1588</v>
      </c>
      <c r="D60" s="3" t="s">
        <v>1276</v>
      </c>
      <c r="E60" s="3" t="s">
        <v>2051</v>
      </c>
      <c r="F60" s="3" t="s">
        <v>217</v>
      </c>
      <c r="G60" s="3" t="s">
        <v>2052</v>
      </c>
      <c r="H60" s="3" t="s">
        <v>2053</v>
      </c>
      <c r="I60" s="3" t="s">
        <v>2054</v>
      </c>
    </row>
    <row r="61" spans="1:9">
      <c r="A61" s="3" t="s">
        <v>120</v>
      </c>
      <c r="B61" s="3" t="s">
        <v>1659</v>
      </c>
      <c r="C61" s="3" t="s">
        <v>1588</v>
      </c>
      <c r="D61" s="3" t="s">
        <v>605</v>
      </c>
      <c r="E61" s="3" t="s">
        <v>283</v>
      </c>
      <c r="F61" s="3" t="s">
        <v>217</v>
      </c>
      <c r="G61" s="3" t="s">
        <v>1838</v>
      </c>
      <c r="H61" s="3" t="s">
        <v>16</v>
      </c>
      <c r="I61" s="3" t="s">
        <v>1839</v>
      </c>
    </row>
    <row r="62" spans="1:9">
      <c r="A62" s="3" t="s">
        <v>120</v>
      </c>
      <c r="B62" s="3" t="s">
        <v>1775</v>
      </c>
      <c r="C62" s="3" t="s">
        <v>1588</v>
      </c>
      <c r="D62" s="3" t="s">
        <v>1776</v>
      </c>
      <c r="E62" s="3" t="s">
        <v>1777</v>
      </c>
      <c r="F62" s="3" t="s">
        <v>217</v>
      </c>
      <c r="G62" s="3" t="s">
        <v>1778</v>
      </c>
      <c r="H62" s="3" t="s">
        <v>16</v>
      </c>
      <c r="I62" s="3" t="s">
        <v>1779</v>
      </c>
    </row>
    <row r="63" spans="1:9">
      <c r="A63" s="3" t="s">
        <v>120</v>
      </c>
      <c r="B63" s="3" t="s">
        <v>1659</v>
      </c>
      <c r="C63" s="3" t="s">
        <v>1588</v>
      </c>
      <c r="D63" s="3" t="s">
        <v>165</v>
      </c>
      <c r="E63" s="3" t="s">
        <v>1840</v>
      </c>
      <c r="F63" s="3" t="s">
        <v>225</v>
      </c>
      <c r="G63" s="3" t="s">
        <v>1185</v>
      </c>
      <c r="H63" s="3" t="s">
        <v>16</v>
      </c>
      <c r="I63" s="3" t="s">
        <v>1841</v>
      </c>
    </row>
    <row r="64" spans="1:9">
      <c r="A64" s="3" t="s">
        <v>120</v>
      </c>
      <c r="B64" s="3" t="s">
        <v>1659</v>
      </c>
      <c r="C64" s="3" t="s">
        <v>1588</v>
      </c>
      <c r="D64" s="3" t="s">
        <v>165</v>
      </c>
      <c r="E64" s="3" t="s">
        <v>1842</v>
      </c>
      <c r="F64" s="3" t="s">
        <v>225</v>
      </c>
      <c r="G64" s="3" t="s">
        <v>1843</v>
      </c>
      <c r="H64" s="3" t="s">
        <v>16</v>
      </c>
      <c r="I64" s="3" t="s">
        <v>1844</v>
      </c>
    </row>
    <row r="65" spans="1:9">
      <c r="A65" s="3" t="s">
        <v>120</v>
      </c>
      <c r="B65" s="3" t="s">
        <v>1659</v>
      </c>
      <c r="C65" s="3" t="s">
        <v>1588</v>
      </c>
      <c r="D65" s="3" t="s">
        <v>173</v>
      </c>
      <c r="E65" s="3" t="s">
        <v>1845</v>
      </c>
      <c r="F65" s="3" t="s">
        <v>14</v>
      </c>
      <c r="G65" s="3" t="s">
        <v>1185</v>
      </c>
      <c r="H65" s="3" t="s">
        <v>16</v>
      </c>
      <c r="I65" s="3" t="s">
        <v>1846</v>
      </c>
    </row>
    <row r="66" spans="1:9">
      <c r="A66" s="3" t="s">
        <v>120</v>
      </c>
      <c r="B66" s="3" t="s">
        <v>1659</v>
      </c>
      <c r="C66" s="3" t="s">
        <v>1588</v>
      </c>
      <c r="D66" s="3" t="s">
        <v>1847</v>
      </c>
      <c r="E66" s="3" t="s">
        <v>1848</v>
      </c>
      <c r="F66" s="3" t="s">
        <v>38</v>
      </c>
      <c r="G66" s="3" t="s">
        <v>1843</v>
      </c>
      <c r="H66" s="3" t="s">
        <v>16</v>
      </c>
      <c r="I66" s="3" t="s">
        <v>1849</v>
      </c>
    </row>
    <row r="67" spans="1:9">
      <c r="A67" s="3" t="s">
        <v>120</v>
      </c>
      <c r="B67" s="3" t="s">
        <v>1659</v>
      </c>
      <c r="C67" s="3" t="s">
        <v>1588</v>
      </c>
      <c r="D67" s="3" t="s">
        <v>316</v>
      </c>
      <c r="E67" s="3" t="s">
        <v>1850</v>
      </c>
      <c r="F67" s="3" t="s">
        <v>38</v>
      </c>
      <c r="G67" s="3" t="s">
        <v>1851</v>
      </c>
      <c r="H67" s="3" t="s">
        <v>16</v>
      </c>
      <c r="I67" s="3" t="s">
        <v>1852</v>
      </c>
    </row>
    <row r="68" spans="1:9">
      <c r="A68" s="3" t="s">
        <v>120</v>
      </c>
      <c r="B68" s="3" t="s">
        <v>1659</v>
      </c>
      <c r="C68" s="3" t="s">
        <v>1588</v>
      </c>
      <c r="D68" s="3" t="s">
        <v>1853</v>
      </c>
      <c r="E68" s="3" t="s">
        <v>1854</v>
      </c>
      <c r="F68" s="3" t="s">
        <v>38</v>
      </c>
      <c r="G68" s="3" t="s">
        <v>1855</v>
      </c>
      <c r="H68" s="3" t="s">
        <v>16</v>
      </c>
      <c r="I68" s="3" t="s">
        <v>1856</v>
      </c>
    </row>
    <row r="69" spans="1:9">
      <c r="A69" s="3" t="s">
        <v>120</v>
      </c>
      <c r="B69" s="3" t="s">
        <v>1659</v>
      </c>
      <c r="C69" s="3" t="s">
        <v>1588</v>
      </c>
      <c r="D69" s="3" t="s">
        <v>301</v>
      </c>
      <c r="E69" s="3" t="s">
        <v>1857</v>
      </c>
      <c r="F69" s="3" t="s">
        <v>38</v>
      </c>
      <c r="G69" s="3" t="s">
        <v>1858</v>
      </c>
      <c r="H69" s="3" t="s">
        <v>16</v>
      </c>
      <c r="I69" s="3" t="s">
        <v>1859</v>
      </c>
    </row>
    <row r="70" spans="1:9">
      <c r="A70" s="3" t="s">
        <v>120</v>
      </c>
      <c r="B70" s="3" t="s">
        <v>1659</v>
      </c>
      <c r="C70" s="3" t="s">
        <v>1588</v>
      </c>
      <c r="D70" s="3" t="s">
        <v>1860</v>
      </c>
      <c r="E70" s="3" t="s">
        <v>1861</v>
      </c>
      <c r="F70" s="3" t="s">
        <v>38</v>
      </c>
      <c r="G70" s="3" t="s">
        <v>1862</v>
      </c>
      <c r="H70" s="3" t="s">
        <v>16</v>
      </c>
      <c r="I70" s="3" t="s">
        <v>1863</v>
      </c>
    </row>
    <row r="71" spans="1:9">
      <c r="A71" s="3" t="s">
        <v>120</v>
      </c>
      <c r="B71" s="3" t="s">
        <v>1707</v>
      </c>
      <c r="C71" s="3" t="s">
        <v>1588</v>
      </c>
      <c r="D71" s="3" t="s">
        <v>12</v>
      </c>
      <c r="E71" s="3" t="s">
        <v>389</v>
      </c>
      <c r="F71" s="3" t="s">
        <v>38</v>
      </c>
      <c r="G71" s="3" t="s">
        <v>472</v>
      </c>
      <c r="H71" s="3" t="s">
        <v>16</v>
      </c>
      <c r="I71" s="3" t="s">
        <v>1864</v>
      </c>
    </row>
    <row r="72" spans="1:9">
      <c r="A72" s="3" t="s">
        <v>120</v>
      </c>
      <c r="B72" s="3" t="s">
        <v>1707</v>
      </c>
      <c r="C72" s="3" t="s">
        <v>1588</v>
      </c>
      <c r="D72" s="3" t="s">
        <v>1865</v>
      </c>
      <c r="E72" s="3" t="s">
        <v>1866</v>
      </c>
      <c r="F72" s="3" t="s">
        <v>38</v>
      </c>
      <c r="G72" s="3" t="s">
        <v>1867</v>
      </c>
      <c r="H72" s="3" t="s">
        <v>16</v>
      </c>
      <c r="I72" s="3" t="s">
        <v>1868</v>
      </c>
    </row>
    <row r="73" spans="1:9">
      <c r="A73" s="3" t="s">
        <v>120</v>
      </c>
      <c r="B73" s="3" t="s">
        <v>1707</v>
      </c>
      <c r="C73" s="3" t="s">
        <v>1588</v>
      </c>
      <c r="D73" s="3" t="s">
        <v>45</v>
      </c>
      <c r="E73" s="3" t="s">
        <v>1869</v>
      </c>
      <c r="F73" s="3" t="s">
        <v>38</v>
      </c>
      <c r="G73" s="3" t="s">
        <v>1870</v>
      </c>
      <c r="H73" s="3" t="s">
        <v>16</v>
      </c>
      <c r="I73" s="3" t="s">
        <v>1871</v>
      </c>
    </row>
    <row r="74" spans="1:9">
      <c r="A74" s="3" t="s">
        <v>120</v>
      </c>
      <c r="B74" s="3" t="s">
        <v>1733</v>
      </c>
      <c r="C74" s="3" t="s">
        <v>1588</v>
      </c>
      <c r="D74" s="3" t="s">
        <v>355</v>
      </c>
      <c r="E74" s="3" t="s">
        <v>1872</v>
      </c>
      <c r="F74" s="3" t="s">
        <v>38</v>
      </c>
      <c r="G74" s="3" t="s">
        <v>1203</v>
      </c>
      <c r="H74" s="3" t="s">
        <v>16</v>
      </c>
      <c r="I74" s="3" t="s">
        <v>1873</v>
      </c>
    </row>
    <row r="75" spans="1:9">
      <c r="A75" s="3" t="s">
        <v>120</v>
      </c>
      <c r="B75" s="3" t="s">
        <v>1788</v>
      </c>
      <c r="C75" s="3" t="s">
        <v>1588</v>
      </c>
      <c r="D75" s="3" t="s">
        <v>1874</v>
      </c>
      <c r="E75" s="3" t="s">
        <v>1875</v>
      </c>
      <c r="F75" s="3" t="s">
        <v>38</v>
      </c>
      <c r="G75" s="3" t="s">
        <v>1876</v>
      </c>
      <c r="H75" s="3" t="s">
        <v>16</v>
      </c>
      <c r="I75" s="3" t="s">
        <v>1877</v>
      </c>
    </row>
    <row r="76" spans="1:9">
      <c r="A76" s="3" t="s">
        <v>120</v>
      </c>
      <c r="B76" s="3" t="s">
        <v>1788</v>
      </c>
      <c r="C76" s="3" t="s">
        <v>1588</v>
      </c>
      <c r="D76" s="3" t="s">
        <v>509</v>
      </c>
      <c r="E76" s="3" t="s">
        <v>1878</v>
      </c>
      <c r="F76" s="3" t="s">
        <v>38</v>
      </c>
      <c r="G76" s="3"/>
      <c r="H76" s="3" t="s">
        <v>16</v>
      </c>
      <c r="I76" s="3" t="s">
        <v>1879</v>
      </c>
    </row>
    <row r="77" spans="1:9">
      <c r="A77" s="3" t="s">
        <v>120</v>
      </c>
      <c r="B77" s="3" t="s">
        <v>1788</v>
      </c>
      <c r="C77" s="3" t="s">
        <v>1588</v>
      </c>
      <c r="D77" s="3" t="s">
        <v>837</v>
      </c>
      <c r="E77" s="3" t="s">
        <v>1880</v>
      </c>
      <c r="F77" s="3" t="s">
        <v>38</v>
      </c>
      <c r="G77" s="3" t="s">
        <v>1881</v>
      </c>
      <c r="H77" s="3" t="s">
        <v>16</v>
      </c>
      <c r="I77" s="3" t="s">
        <v>1882</v>
      </c>
    </row>
    <row r="78" spans="1:9">
      <c r="A78" s="3" t="s">
        <v>120</v>
      </c>
      <c r="B78" s="3" t="s">
        <v>1755</v>
      </c>
      <c r="C78" s="3" t="s">
        <v>1588</v>
      </c>
      <c r="D78" s="3" t="s">
        <v>1883</v>
      </c>
      <c r="E78" s="3" t="s">
        <v>1884</v>
      </c>
      <c r="F78" s="3" t="s">
        <v>38</v>
      </c>
      <c r="G78" s="3" t="s">
        <v>1885</v>
      </c>
      <c r="H78" s="3" t="s">
        <v>16</v>
      </c>
      <c r="I78" s="3" t="s">
        <v>1886</v>
      </c>
    </row>
    <row r="79" spans="1:9">
      <c r="A79" s="3" t="s">
        <v>120</v>
      </c>
      <c r="B79" s="3" t="s">
        <v>1755</v>
      </c>
      <c r="C79" s="3" t="s">
        <v>1588</v>
      </c>
      <c r="D79" s="3" t="s">
        <v>239</v>
      </c>
      <c r="E79" s="3" t="s">
        <v>1887</v>
      </c>
      <c r="F79" s="3" t="s">
        <v>38</v>
      </c>
      <c r="G79" s="3" t="s">
        <v>1888</v>
      </c>
      <c r="H79" s="3" t="s">
        <v>16</v>
      </c>
      <c r="I79" s="3" t="s">
        <v>1889</v>
      </c>
    </row>
    <row r="80" spans="1:9">
      <c r="A80" s="3" t="s">
        <v>120</v>
      </c>
      <c r="B80" s="3" t="s">
        <v>1755</v>
      </c>
      <c r="C80" s="3" t="s">
        <v>1588</v>
      </c>
      <c r="D80" s="3" t="s">
        <v>614</v>
      </c>
      <c r="E80" s="3" t="s">
        <v>1890</v>
      </c>
      <c r="F80" s="3" t="s">
        <v>38</v>
      </c>
      <c r="G80" s="3" t="s">
        <v>1891</v>
      </c>
      <c r="H80" s="3" t="s">
        <v>16</v>
      </c>
      <c r="I80" s="3" t="s">
        <v>1892</v>
      </c>
    </row>
    <row r="81" spans="1:9">
      <c r="A81" s="3" t="s">
        <v>120</v>
      </c>
      <c r="B81" s="3" t="s">
        <v>1624</v>
      </c>
      <c r="C81" s="3" t="s">
        <v>1588</v>
      </c>
      <c r="D81" s="3" t="s">
        <v>1893</v>
      </c>
      <c r="E81" s="3" t="s">
        <v>1894</v>
      </c>
      <c r="F81" s="3" t="s">
        <v>38</v>
      </c>
      <c r="G81" s="3" t="s">
        <v>1895</v>
      </c>
      <c r="H81" s="3" t="s">
        <v>16</v>
      </c>
      <c r="I81" s="3" t="s">
        <v>1896</v>
      </c>
    </row>
    <row r="82" spans="1:9">
      <c r="A82" s="3" t="s">
        <v>120</v>
      </c>
      <c r="B82" s="3" t="s">
        <v>1624</v>
      </c>
      <c r="C82" s="3" t="s">
        <v>1588</v>
      </c>
      <c r="D82" s="3" t="s">
        <v>239</v>
      </c>
      <c r="E82" s="3" t="s">
        <v>1897</v>
      </c>
      <c r="F82" s="3" t="s">
        <v>38</v>
      </c>
      <c r="G82" s="3" t="s">
        <v>1210</v>
      </c>
      <c r="H82" s="3" t="s">
        <v>16</v>
      </c>
      <c r="I82" s="3" t="s">
        <v>1898</v>
      </c>
    </row>
    <row r="83" spans="1:9">
      <c r="A83" s="3" t="s">
        <v>120</v>
      </c>
      <c r="B83" s="3" t="s">
        <v>1697</v>
      </c>
      <c r="C83" s="3" t="s">
        <v>1588</v>
      </c>
      <c r="D83" s="3" t="s">
        <v>1899</v>
      </c>
      <c r="E83" s="3" t="s">
        <v>1900</v>
      </c>
      <c r="F83" s="3" t="s">
        <v>38</v>
      </c>
      <c r="G83" s="3" t="s">
        <v>1901</v>
      </c>
      <c r="H83" s="3" t="s">
        <v>16</v>
      </c>
      <c r="I83" s="3" t="s">
        <v>1902</v>
      </c>
    </row>
    <row r="84" spans="1:9">
      <c r="A84" s="3" t="s">
        <v>120</v>
      </c>
      <c r="B84" s="3" t="s">
        <v>1700</v>
      </c>
      <c r="C84" s="3" t="s">
        <v>1588</v>
      </c>
      <c r="D84" s="3" t="s">
        <v>732</v>
      </c>
      <c r="E84" s="3" t="s">
        <v>1903</v>
      </c>
      <c r="F84" s="3" t="s">
        <v>38</v>
      </c>
      <c r="G84" s="3" t="s">
        <v>1904</v>
      </c>
      <c r="H84" s="3" t="s">
        <v>16</v>
      </c>
      <c r="I84" s="3" t="s">
        <v>1905</v>
      </c>
    </row>
    <row r="85" spans="1:9">
      <c r="A85" s="3" t="s">
        <v>120</v>
      </c>
      <c r="B85" s="3" t="s">
        <v>1700</v>
      </c>
      <c r="C85" s="3" t="s">
        <v>1588</v>
      </c>
      <c r="D85" s="3" t="s">
        <v>271</v>
      </c>
      <c r="E85" s="3" t="s">
        <v>1906</v>
      </c>
      <c r="F85" s="3" t="s">
        <v>38</v>
      </c>
      <c r="G85" s="3" t="s">
        <v>1907</v>
      </c>
      <c r="H85" s="3" t="s">
        <v>16</v>
      </c>
      <c r="I85" s="3" t="s">
        <v>1908</v>
      </c>
    </row>
    <row r="86" spans="1:9">
      <c r="A86" s="3" t="s">
        <v>120</v>
      </c>
      <c r="B86" s="3" t="s">
        <v>1700</v>
      </c>
      <c r="C86" s="3" t="s">
        <v>1588</v>
      </c>
      <c r="D86" s="3" t="s">
        <v>1909</v>
      </c>
      <c r="E86" s="3" t="s">
        <v>1910</v>
      </c>
      <c r="F86" s="3" t="s">
        <v>38</v>
      </c>
      <c r="G86" s="3" t="s">
        <v>1911</v>
      </c>
      <c r="H86" s="3" t="s">
        <v>16</v>
      </c>
      <c r="I86" s="3" t="s">
        <v>1912</v>
      </c>
    </row>
    <row r="87" spans="1:9">
      <c r="A87" s="3" t="s">
        <v>120</v>
      </c>
      <c r="B87" s="3" t="s">
        <v>121</v>
      </c>
      <c r="C87" s="3" t="s">
        <v>1588</v>
      </c>
      <c r="D87" s="3" t="s">
        <v>605</v>
      </c>
      <c r="E87" s="3" t="s">
        <v>1913</v>
      </c>
      <c r="F87" s="3" t="s">
        <v>38</v>
      </c>
      <c r="G87" s="3" t="s">
        <v>1914</v>
      </c>
      <c r="H87" s="3" t="s">
        <v>16</v>
      </c>
      <c r="I87" s="3" t="s">
        <v>1915</v>
      </c>
    </row>
    <row r="88" spans="1:9">
      <c r="A88" s="3" t="s">
        <v>120</v>
      </c>
      <c r="B88" s="3" t="s">
        <v>121</v>
      </c>
      <c r="C88" s="3" t="s">
        <v>1588</v>
      </c>
      <c r="D88" s="3" t="s">
        <v>1916</v>
      </c>
      <c r="E88" s="3" t="s">
        <v>1917</v>
      </c>
      <c r="F88" s="3" t="s">
        <v>38</v>
      </c>
      <c r="G88" s="3" t="s">
        <v>1918</v>
      </c>
      <c r="H88" s="3" t="s">
        <v>16</v>
      </c>
      <c r="I88" s="3" t="s">
        <v>1919</v>
      </c>
    </row>
    <row r="89" spans="1:9">
      <c r="A89" s="3" t="s">
        <v>120</v>
      </c>
      <c r="B89" s="3" t="s">
        <v>121</v>
      </c>
      <c r="C89" s="3" t="s">
        <v>1588</v>
      </c>
      <c r="D89" s="3" t="s">
        <v>1195</v>
      </c>
      <c r="E89" s="3" t="s">
        <v>1920</v>
      </c>
      <c r="F89" s="3" t="s">
        <v>38</v>
      </c>
      <c r="G89" s="3" t="s">
        <v>1921</v>
      </c>
      <c r="H89" s="3" t="s">
        <v>16</v>
      </c>
      <c r="I89" s="3" t="s">
        <v>1922</v>
      </c>
    </row>
    <row r="90" spans="1:9">
      <c r="A90" s="3" t="s">
        <v>120</v>
      </c>
      <c r="B90" s="3" t="s">
        <v>121</v>
      </c>
      <c r="C90" s="3" t="s">
        <v>1588</v>
      </c>
      <c r="D90" s="3" t="s">
        <v>45</v>
      </c>
      <c r="E90" s="3" t="s">
        <v>1923</v>
      </c>
      <c r="F90" s="3" t="s">
        <v>38</v>
      </c>
      <c r="G90" s="3" t="s">
        <v>1051</v>
      </c>
      <c r="H90" s="3" t="s">
        <v>16</v>
      </c>
      <c r="I90" s="3" t="s">
        <v>1924</v>
      </c>
    </row>
    <row r="91" spans="1:9">
      <c r="A91" s="3" t="s">
        <v>120</v>
      </c>
      <c r="B91" s="3" t="s">
        <v>1742</v>
      </c>
      <c r="C91" s="3" t="s">
        <v>1588</v>
      </c>
      <c r="D91" s="3" t="s">
        <v>1925</v>
      </c>
      <c r="E91" s="3" t="s">
        <v>1926</v>
      </c>
      <c r="F91" s="3" t="s">
        <v>38</v>
      </c>
      <c r="G91" s="3" t="s">
        <v>422</v>
      </c>
      <c r="H91" s="3" t="s">
        <v>16</v>
      </c>
      <c r="I91" s="3" t="s">
        <v>1927</v>
      </c>
    </row>
    <row r="92" spans="1:9">
      <c r="A92" s="3" t="s">
        <v>120</v>
      </c>
      <c r="B92" s="3" t="s">
        <v>1742</v>
      </c>
      <c r="C92" s="3" t="s">
        <v>1588</v>
      </c>
      <c r="D92" s="3" t="s">
        <v>1928</v>
      </c>
      <c r="E92" s="3" t="s">
        <v>1929</v>
      </c>
      <c r="F92" s="3" t="s">
        <v>38</v>
      </c>
      <c r="G92" s="3" t="s">
        <v>1930</v>
      </c>
      <c r="H92" s="3" t="s">
        <v>16</v>
      </c>
      <c r="I92" s="3" t="s">
        <v>1931</v>
      </c>
    </row>
    <row r="93" spans="1:9">
      <c r="A93" s="3" t="s">
        <v>120</v>
      </c>
      <c r="B93" s="3" t="s">
        <v>1742</v>
      </c>
      <c r="C93" s="3" t="s">
        <v>1588</v>
      </c>
      <c r="D93" s="3" t="s">
        <v>116</v>
      </c>
      <c r="E93" s="3" t="s">
        <v>1932</v>
      </c>
      <c r="F93" s="3" t="s">
        <v>38</v>
      </c>
      <c r="G93" s="3" t="s">
        <v>1933</v>
      </c>
      <c r="H93" s="3" t="s">
        <v>16</v>
      </c>
      <c r="I93" s="3" t="s">
        <v>1934</v>
      </c>
    </row>
    <row r="94" spans="1:9">
      <c r="A94" s="3" t="s">
        <v>120</v>
      </c>
      <c r="B94" s="3" t="s">
        <v>1742</v>
      </c>
      <c r="C94" s="3" t="s">
        <v>1588</v>
      </c>
      <c r="D94" s="3" t="s">
        <v>116</v>
      </c>
      <c r="E94" s="3" t="s">
        <v>1935</v>
      </c>
      <c r="F94" s="3" t="s">
        <v>38</v>
      </c>
      <c r="G94" s="3"/>
      <c r="H94" s="3" t="s">
        <v>16</v>
      </c>
      <c r="I94" s="3" t="s">
        <v>1936</v>
      </c>
    </row>
    <row r="95" spans="1:9">
      <c r="A95" s="3" t="s">
        <v>120</v>
      </c>
      <c r="B95" s="3" t="s">
        <v>1742</v>
      </c>
      <c r="C95" s="3" t="s">
        <v>1588</v>
      </c>
      <c r="D95" s="3" t="s">
        <v>1937</v>
      </c>
      <c r="E95" s="3" t="s">
        <v>1938</v>
      </c>
      <c r="F95" s="3" t="s">
        <v>38</v>
      </c>
      <c r="G95" s="3" t="s">
        <v>1051</v>
      </c>
      <c r="H95" s="3" t="s">
        <v>16</v>
      </c>
      <c r="I95" s="3" t="s">
        <v>1939</v>
      </c>
    </row>
    <row r="96" spans="1:9">
      <c r="A96" s="3" t="s">
        <v>120</v>
      </c>
      <c r="B96" s="3" t="s">
        <v>1712</v>
      </c>
      <c r="C96" s="3" t="s">
        <v>1588</v>
      </c>
      <c r="D96" s="3" t="s">
        <v>83</v>
      </c>
      <c r="E96" s="3" t="s">
        <v>1940</v>
      </c>
      <c r="F96" s="3" t="s">
        <v>38</v>
      </c>
      <c r="G96" s="3" t="s">
        <v>1941</v>
      </c>
      <c r="H96" s="3" t="s">
        <v>16</v>
      </c>
      <c r="I96" s="3" t="s">
        <v>1942</v>
      </c>
    </row>
    <row r="97" spans="1:9">
      <c r="A97" s="3" t="s">
        <v>120</v>
      </c>
      <c r="B97" s="3" t="s">
        <v>1712</v>
      </c>
      <c r="C97" s="3" t="s">
        <v>1588</v>
      </c>
      <c r="D97" s="3" t="s">
        <v>1943</v>
      </c>
      <c r="E97" s="3" t="s">
        <v>1944</v>
      </c>
      <c r="F97" s="3" t="s">
        <v>38</v>
      </c>
      <c r="G97" s="3" t="s">
        <v>1945</v>
      </c>
      <c r="H97" s="3" t="s">
        <v>16</v>
      </c>
      <c r="I97" s="3" t="s">
        <v>1946</v>
      </c>
    </row>
    <row r="98" spans="1:9">
      <c r="A98" s="3" t="s">
        <v>120</v>
      </c>
      <c r="B98" s="3" t="s">
        <v>1712</v>
      </c>
      <c r="C98" s="3" t="s">
        <v>1588</v>
      </c>
      <c r="D98" s="3" t="s">
        <v>1947</v>
      </c>
      <c r="E98" s="3" t="s">
        <v>1948</v>
      </c>
      <c r="F98" s="3" t="s">
        <v>38</v>
      </c>
      <c r="G98" s="3" t="s">
        <v>1949</v>
      </c>
      <c r="H98" s="3" t="s">
        <v>16</v>
      </c>
      <c r="I98" s="3" t="s">
        <v>1950</v>
      </c>
    </row>
    <row r="99" spans="1:9">
      <c r="A99" s="3" t="s">
        <v>120</v>
      </c>
      <c r="B99" s="3" t="s">
        <v>1667</v>
      </c>
      <c r="C99" s="3" t="s">
        <v>1588</v>
      </c>
      <c r="D99" s="3" t="s">
        <v>447</v>
      </c>
      <c r="E99" s="3" t="s">
        <v>182</v>
      </c>
      <c r="F99" s="3" t="s">
        <v>38</v>
      </c>
      <c r="G99" s="3" t="s">
        <v>433</v>
      </c>
      <c r="H99" s="3" t="s">
        <v>16</v>
      </c>
      <c r="I99" s="3" t="s">
        <v>1951</v>
      </c>
    </row>
    <row r="100" spans="1:9">
      <c r="A100" s="3" t="s">
        <v>120</v>
      </c>
      <c r="B100" s="3" t="s">
        <v>1667</v>
      </c>
      <c r="C100" s="3" t="s">
        <v>1588</v>
      </c>
      <c r="D100" s="3"/>
      <c r="E100" s="3" t="s">
        <v>1952</v>
      </c>
      <c r="F100" s="3" t="s">
        <v>38</v>
      </c>
      <c r="G100" s="3"/>
      <c r="H100" s="3" t="s">
        <v>16</v>
      </c>
      <c r="I100" s="3" t="s">
        <v>1953</v>
      </c>
    </row>
    <row r="101" spans="1:9">
      <c r="A101" s="3" t="s">
        <v>120</v>
      </c>
      <c r="B101" s="3" t="s">
        <v>1780</v>
      </c>
      <c r="C101" s="3" t="s">
        <v>1588</v>
      </c>
      <c r="D101" s="3"/>
      <c r="E101" s="3" t="s">
        <v>1954</v>
      </c>
      <c r="F101" s="3" t="s">
        <v>38</v>
      </c>
      <c r="G101" s="3"/>
      <c r="H101" s="3" t="s">
        <v>16</v>
      </c>
      <c r="I101" s="3" t="s">
        <v>1955</v>
      </c>
    </row>
    <row r="102" spans="1:9">
      <c r="A102" s="3" t="s">
        <v>120</v>
      </c>
      <c r="B102" s="3" t="s">
        <v>1772</v>
      </c>
      <c r="C102" s="3" t="s">
        <v>1588</v>
      </c>
      <c r="D102" s="3" t="s">
        <v>239</v>
      </c>
      <c r="E102" s="3" t="s">
        <v>182</v>
      </c>
      <c r="F102" s="3" t="s">
        <v>38</v>
      </c>
      <c r="G102" s="3" t="s">
        <v>1185</v>
      </c>
      <c r="H102" s="3" t="s">
        <v>16</v>
      </c>
      <c r="I102" s="3" t="s">
        <v>1956</v>
      </c>
    </row>
    <row r="103" spans="1:9">
      <c r="A103" s="3" t="s">
        <v>120</v>
      </c>
      <c r="B103" s="3" t="s">
        <v>1772</v>
      </c>
      <c r="C103" s="3" t="s">
        <v>1588</v>
      </c>
      <c r="D103" s="3" t="s">
        <v>1957</v>
      </c>
      <c r="E103" s="3" t="s">
        <v>1958</v>
      </c>
      <c r="F103" s="3" t="s">
        <v>38</v>
      </c>
      <c r="G103" s="3" t="s">
        <v>1082</v>
      </c>
      <c r="H103" s="3" t="s">
        <v>16</v>
      </c>
      <c r="I103" s="3" t="s">
        <v>1959</v>
      </c>
    </row>
    <row r="104" spans="1:9">
      <c r="A104" s="3" t="s">
        <v>120</v>
      </c>
      <c r="B104" s="3" t="s">
        <v>1772</v>
      </c>
      <c r="C104" s="3" t="s">
        <v>1588</v>
      </c>
      <c r="D104" s="3" t="s">
        <v>1853</v>
      </c>
      <c r="E104" s="3" t="s">
        <v>1407</v>
      </c>
      <c r="F104" s="3" t="s">
        <v>38</v>
      </c>
      <c r="G104" s="3" t="s">
        <v>1960</v>
      </c>
      <c r="H104" s="3" t="s">
        <v>16</v>
      </c>
      <c r="I104" s="3" t="s">
        <v>1961</v>
      </c>
    </row>
    <row r="105" spans="1:9">
      <c r="A105" s="3" t="s">
        <v>120</v>
      </c>
      <c r="B105" s="3" t="s">
        <v>1764</v>
      </c>
      <c r="C105" s="3" t="s">
        <v>1588</v>
      </c>
      <c r="D105" s="3" t="s">
        <v>1962</v>
      </c>
      <c r="E105" s="3" t="s">
        <v>1897</v>
      </c>
      <c r="F105" s="3" t="s">
        <v>38</v>
      </c>
      <c r="G105" s="3" t="s">
        <v>1963</v>
      </c>
      <c r="H105" s="3" t="s">
        <v>16</v>
      </c>
      <c r="I105" s="3" t="s">
        <v>1964</v>
      </c>
    </row>
    <row r="106" spans="1:9">
      <c r="A106" s="3" t="s">
        <v>120</v>
      </c>
      <c r="B106" s="3" t="s">
        <v>1764</v>
      </c>
      <c r="C106" s="3" t="s">
        <v>1588</v>
      </c>
      <c r="D106" s="3" t="s">
        <v>239</v>
      </c>
      <c r="E106" s="3" t="s">
        <v>1965</v>
      </c>
      <c r="F106" s="3" t="s">
        <v>38</v>
      </c>
      <c r="G106" s="3" t="s">
        <v>245</v>
      </c>
      <c r="H106" s="3" t="s">
        <v>16</v>
      </c>
      <c r="I106" s="3" t="s">
        <v>1966</v>
      </c>
    </row>
    <row r="107" spans="1:9">
      <c r="A107" s="3" t="s">
        <v>120</v>
      </c>
      <c r="B107" s="3" t="s">
        <v>1608</v>
      </c>
      <c r="C107" s="3" t="s">
        <v>1588</v>
      </c>
      <c r="D107" s="3" t="s">
        <v>1228</v>
      </c>
      <c r="E107" s="3" t="s">
        <v>1127</v>
      </c>
      <c r="F107" s="3" t="s">
        <v>38</v>
      </c>
      <c r="G107" s="3" t="s">
        <v>1969</v>
      </c>
      <c r="H107" s="3" t="s">
        <v>16</v>
      </c>
      <c r="I107" s="3" t="s">
        <v>1970</v>
      </c>
    </row>
    <row r="108" spans="1:9">
      <c r="A108" s="3" t="s">
        <v>120</v>
      </c>
      <c r="B108" s="3" t="s">
        <v>1731</v>
      </c>
      <c r="C108" s="3" t="s">
        <v>1588</v>
      </c>
      <c r="D108" s="3" t="s">
        <v>509</v>
      </c>
      <c r="E108" s="3" t="s">
        <v>1971</v>
      </c>
      <c r="F108" s="3" t="s">
        <v>225</v>
      </c>
      <c r="G108" s="3" t="s">
        <v>1972</v>
      </c>
      <c r="H108" s="3" t="s">
        <v>16</v>
      </c>
      <c r="I108" s="3" t="s">
        <v>1973</v>
      </c>
    </row>
    <row r="109" spans="1:9">
      <c r="A109" s="3" t="s">
        <v>120</v>
      </c>
      <c r="B109" s="3" t="s">
        <v>1775</v>
      </c>
      <c r="C109" s="3" t="s">
        <v>1588</v>
      </c>
      <c r="D109" s="3" t="s">
        <v>1974</v>
      </c>
      <c r="E109" s="3" t="s">
        <v>1124</v>
      </c>
      <c r="F109" s="3" t="s">
        <v>38</v>
      </c>
      <c r="G109" s="3" t="s">
        <v>1082</v>
      </c>
      <c r="H109" s="3" t="s">
        <v>16</v>
      </c>
      <c r="I109" s="3" t="s">
        <v>1975</v>
      </c>
    </row>
    <row r="110" spans="1:9">
      <c r="A110" s="3" t="s">
        <v>120</v>
      </c>
      <c r="B110" s="3" t="s">
        <v>1775</v>
      </c>
      <c r="C110" s="3" t="s">
        <v>1588</v>
      </c>
      <c r="D110" s="3" t="s">
        <v>1976</v>
      </c>
      <c r="E110" s="3" t="s">
        <v>1977</v>
      </c>
      <c r="F110" s="3" t="s">
        <v>14</v>
      </c>
      <c r="G110" s="3" t="s">
        <v>1278</v>
      </c>
      <c r="H110" s="3" t="s">
        <v>16</v>
      </c>
      <c r="I110" s="3" t="s">
        <v>1978</v>
      </c>
    </row>
    <row r="111" spans="1:9">
      <c r="A111" s="3" t="s">
        <v>120</v>
      </c>
      <c r="B111" s="3" t="s">
        <v>1775</v>
      </c>
      <c r="C111" s="3" t="s">
        <v>1588</v>
      </c>
      <c r="D111" s="3" t="s">
        <v>1979</v>
      </c>
      <c r="E111" s="3" t="s">
        <v>1980</v>
      </c>
      <c r="F111" s="3" t="s">
        <v>225</v>
      </c>
      <c r="G111" s="3" t="s">
        <v>1981</v>
      </c>
      <c r="H111" s="3" t="s">
        <v>16</v>
      </c>
      <c r="I111" s="3" t="s">
        <v>1982</v>
      </c>
    </row>
    <row r="112" spans="1:9">
      <c r="A112" s="3" t="s">
        <v>120</v>
      </c>
      <c r="B112" s="3" t="s">
        <v>1686</v>
      </c>
      <c r="C112" s="3" t="s">
        <v>1588</v>
      </c>
      <c r="D112" s="3" t="s">
        <v>1500</v>
      </c>
      <c r="E112" s="3" t="s">
        <v>1983</v>
      </c>
      <c r="F112" s="3" t="s">
        <v>38</v>
      </c>
      <c r="G112" s="3" t="s">
        <v>1082</v>
      </c>
      <c r="H112" s="3" t="s">
        <v>16</v>
      </c>
      <c r="I112" s="3" t="s">
        <v>1984</v>
      </c>
    </row>
    <row r="113" spans="1:9">
      <c r="A113" s="3" t="s">
        <v>120</v>
      </c>
      <c r="B113" s="3" t="s">
        <v>1686</v>
      </c>
      <c r="C113" s="3" t="s">
        <v>1588</v>
      </c>
      <c r="D113" s="3" t="s">
        <v>447</v>
      </c>
      <c r="E113" s="3" t="s">
        <v>1985</v>
      </c>
      <c r="F113" s="3" t="s">
        <v>38</v>
      </c>
      <c r="G113" s="3" t="s">
        <v>849</v>
      </c>
      <c r="H113" s="3" t="s">
        <v>16</v>
      </c>
      <c r="I113" s="3" t="s">
        <v>1986</v>
      </c>
    </row>
    <row r="114" spans="1:9">
      <c r="A114" s="3" t="s">
        <v>120</v>
      </c>
      <c r="B114" s="3" t="s">
        <v>1690</v>
      </c>
      <c r="C114" s="3" t="s">
        <v>1588</v>
      </c>
      <c r="D114" s="3" t="s">
        <v>1987</v>
      </c>
      <c r="E114" s="3" t="s">
        <v>1988</v>
      </c>
      <c r="F114" s="3" t="s">
        <v>38</v>
      </c>
      <c r="G114" s="3" t="s">
        <v>1989</v>
      </c>
      <c r="H114" s="3" t="s">
        <v>16</v>
      </c>
      <c r="I114" s="3" t="s">
        <v>1990</v>
      </c>
    </row>
    <row r="115" spans="1:9">
      <c r="A115" s="3" t="s">
        <v>120</v>
      </c>
      <c r="B115" s="3" t="s">
        <v>1991</v>
      </c>
      <c r="C115" s="3" t="s">
        <v>1588</v>
      </c>
      <c r="D115" s="3" t="s">
        <v>41</v>
      </c>
      <c r="E115" s="3" t="s">
        <v>1992</v>
      </c>
      <c r="F115" s="3" t="s">
        <v>225</v>
      </c>
      <c r="G115" s="3" t="s">
        <v>1993</v>
      </c>
      <c r="H115" s="3" t="s">
        <v>323</v>
      </c>
      <c r="I115" s="3" t="s">
        <v>1994</v>
      </c>
    </row>
    <row r="116" spans="1:9">
      <c r="A116" s="3" t="s">
        <v>120</v>
      </c>
      <c r="B116" s="3" t="s">
        <v>1991</v>
      </c>
      <c r="C116" s="3" t="s">
        <v>1588</v>
      </c>
      <c r="D116" s="3" t="s">
        <v>989</v>
      </c>
      <c r="E116" s="3" t="s">
        <v>1995</v>
      </c>
      <c r="F116" s="3" t="s">
        <v>225</v>
      </c>
      <c r="G116" s="3" t="s">
        <v>1996</v>
      </c>
      <c r="H116" s="3" t="s">
        <v>323</v>
      </c>
      <c r="I116" s="3" t="s">
        <v>1997</v>
      </c>
    </row>
    <row r="117" spans="1:9">
      <c r="A117" s="3" t="s">
        <v>120</v>
      </c>
      <c r="B117" s="3" t="s">
        <v>1707</v>
      </c>
      <c r="C117" s="3" t="s">
        <v>1588</v>
      </c>
      <c r="D117" s="3" t="s">
        <v>420</v>
      </c>
      <c r="E117" s="3" t="s">
        <v>1998</v>
      </c>
      <c r="F117" s="3" t="s">
        <v>38</v>
      </c>
      <c r="G117" s="3" t="s">
        <v>1999</v>
      </c>
      <c r="H117" s="3" t="s">
        <v>323</v>
      </c>
      <c r="I117" s="3" t="s">
        <v>2000</v>
      </c>
    </row>
    <row r="118" spans="1:9">
      <c r="A118" s="3" t="s">
        <v>120</v>
      </c>
      <c r="B118" s="3" t="s">
        <v>1707</v>
      </c>
      <c r="C118" s="3" t="s">
        <v>1588</v>
      </c>
      <c r="D118" s="3" t="s">
        <v>239</v>
      </c>
      <c r="E118" s="3" t="s">
        <v>2001</v>
      </c>
      <c r="F118" s="3" t="s">
        <v>38</v>
      </c>
      <c r="G118" s="3" t="s">
        <v>2002</v>
      </c>
      <c r="H118" s="3" t="s">
        <v>323</v>
      </c>
      <c r="I118" s="3" t="s">
        <v>2003</v>
      </c>
    </row>
    <row r="119" spans="1:9">
      <c r="A119" s="3" t="s">
        <v>120</v>
      </c>
      <c r="B119" s="3" t="s">
        <v>1991</v>
      </c>
      <c r="C119" s="3" t="s">
        <v>1588</v>
      </c>
      <c r="D119" s="3" t="s">
        <v>1276</v>
      </c>
      <c r="E119" s="3" t="s">
        <v>2007</v>
      </c>
      <c r="F119" s="3" t="s">
        <v>225</v>
      </c>
      <c r="G119" s="3" t="s">
        <v>2008</v>
      </c>
      <c r="H119" s="3" t="s">
        <v>323</v>
      </c>
      <c r="I119" s="3" t="s">
        <v>2009</v>
      </c>
    </row>
    <row r="120" spans="1:9">
      <c r="A120" s="3" t="s">
        <v>120</v>
      </c>
      <c r="B120" s="3" t="s">
        <v>1786</v>
      </c>
      <c r="C120" s="3" t="s">
        <v>1588</v>
      </c>
      <c r="D120" s="3" t="s">
        <v>2064</v>
      </c>
      <c r="E120" s="3" t="s">
        <v>1167</v>
      </c>
      <c r="F120" s="3" t="s">
        <v>217</v>
      </c>
      <c r="G120" s="3" t="s">
        <v>2065</v>
      </c>
      <c r="H120" s="3" t="s">
        <v>16</v>
      </c>
      <c r="I120" s="3" t="s">
        <v>2066</v>
      </c>
    </row>
    <row r="121" spans="1:9">
      <c r="A121" s="3" t="s">
        <v>120</v>
      </c>
      <c r="B121" s="3" t="s">
        <v>1991</v>
      </c>
      <c r="C121" s="3" t="s">
        <v>1588</v>
      </c>
      <c r="D121" s="3" t="s">
        <v>173</v>
      </c>
      <c r="E121" s="3" t="s">
        <v>1291</v>
      </c>
      <c r="F121" s="3" t="s">
        <v>225</v>
      </c>
      <c r="G121" s="3" t="s">
        <v>2013</v>
      </c>
      <c r="H121" s="3" t="s">
        <v>16</v>
      </c>
      <c r="I121" s="3" t="s">
        <v>2014</v>
      </c>
    </row>
    <row r="122" spans="1:9">
      <c r="A122" s="3" t="s">
        <v>120</v>
      </c>
      <c r="B122" s="3" t="s">
        <v>1615</v>
      </c>
      <c r="C122" s="3" t="s">
        <v>1588</v>
      </c>
      <c r="D122" s="3" t="s">
        <v>692</v>
      </c>
      <c r="E122" s="3" t="s">
        <v>2035</v>
      </c>
      <c r="F122" s="3" t="s">
        <v>38</v>
      </c>
      <c r="G122" s="3" t="s">
        <v>2036</v>
      </c>
      <c r="H122" s="3" t="s">
        <v>16</v>
      </c>
      <c r="I122" s="3" t="s">
        <v>2037</v>
      </c>
    </row>
    <row r="123" spans="1:9">
      <c r="A123" s="3" t="s">
        <v>120</v>
      </c>
      <c r="B123" s="3" t="s">
        <v>2038</v>
      </c>
      <c r="C123" s="3" t="s">
        <v>1588</v>
      </c>
      <c r="D123" s="3" t="s">
        <v>125</v>
      </c>
      <c r="E123" s="3" t="s">
        <v>2039</v>
      </c>
      <c r="F123" s="3" t="s">
        <v>38</v>
      </c>
      <c r="G123" s="3" t="s">
        <v>2040</v>
      </c>
      <c r="H123" s="3" t="s">
        <v>16</v>
      </c>
      <c r="I123" s="3" t="s">
        <v>2041</v>
      </c>
    </row>
    <row r="124" spans="1:9">
      <c r="A124" s="3" t="s">
        <v>120</v>
      </c>
      <c r="B124" s="3" t="s">
        <v>1772</v>
      </c>
      <c r="C124" s="3" t="s">
        <v>1588</v>
      </c>
      <c r="D124" s="3" t="s">
        <v>107</v>
      </c>
      <c r="E124" s="3" t="s">
        <v>2047</v>
      </c>
      <c r="F124" s="3" t="s">
        <v>38</v>
      </c>
      <c r="G124" s="3" t="s">
        <v>2048</v>
      </c>
      <c r="H124" s="3" t="s">
        <v>16</v>
      </c>
      <c r="I124" s="3" t="s">
        <v>2049</v>
      </c>
    </row>
    <row r="125" spans="1:9">
      <c r="A125" s="3" t="s">
        <v>120</v>
      </c>
      <c r="B125" s="3" t="s">
        <v>1786</v>
      </c>
      <c r="C125" s="3" t="s">
        <v>1588</v>
      </c>
      <c r="D125" s="3" t="s">
        <v>165</v>
      </c>
      <c r="E125" s="3" t="s">
        <v>2067</v>
      </c>
      <c r="F125" s="3" t="s">
        <v>217</v>
      </c>
      <c r="G125" s="3" t="s">
        <v>2068</v>
      </c>
      <c r="H125" s="3" t="s">
        <v>16</v>
      </c>
      <c r="I125" s="3" t="s">
        <v>2069</v>
      </c>
    </row>
    <row r="126" spans="1:9">
      <c r="A126" s="3" t="s">
        <v>120</v>
      </c>
      <c r="B126" s="3" t="s">
        <v>1723</v>
      </c>
      <c r="C126" s="3" t="s">
        <v>1588</v>
      </c>
      <c r="D126" s="3" t="s">
        <v>358</v>
      </c>
      <c r="E126" s="3" t="s">
        <v>2055</v>
      </c>
      <c r="F126" s="3" t="s">
        <v>225</v>
      </c>
      <c r="G126" s="3" t="s">
        <v>1313</v>
      </c>
      <c r="H126" s="3" t="s">
        <v>16</v>
      </c>
      <c r="I126" s="3" t="s">
        <v>2056</v>
      </c>
    </row>
    <row r="127" spans="1:9">
      <c r="A127" s="3" t="s">
        <v>120</v>
      </c>
      <c r="B127" s="3" t="s">
        <v>1723</v>
      </c>
      <c r="C127" s="3" t="s">
        <v>1588</v>
      </c>
      <c r="D127" s="3" t="s">
        <v>2057</v>
      </c>
      <c r="E127" s="3" t="s">
        <v>182</v>
      </c>
      <c r="F127" s="3" t="s">
        <v>225</v>
      </c>
      <c r="G127" s="3" t="s">
        <v>2058</v>
      </c>
      <c r="H127" s="3" t="s">
        <v>16</v>
      </c>
      <c r="I127" s="3" t="s">
        <v>2059</v>
      </c>
    </row>
    <row r="128" spans="1:9">
      <c r="A128" s="3" t="s">
        <v>120</v>
      </c>
      <c r="B128" s="3" t="s">
        <v>1676</v>
      </c>
      <c r="C128" s="3" t="s">
        <v>1588</v>
      </c>
      <c r="D128" s="3" t="s">
        <v>321</v>
      </c>
      <c r="E128" s="3" t="s">
        <v>2101</v>
      </c>
      <c r="F128" s="3" t="s">
        <v>217</v>
      </c>
      <c r="G128" s="3" t="s">
        <v>2102</v>
      </c>
      <c r="H128" s="3" t="s">
        <v>16</v>
      </c>
      <c r="I128" s="3" t="s">
        <v>2103</v>
      </c>
    </row>
    <row r="129" spans="1:9">
      <c r="A129" s="3" t="s">
        <v>120</v>
      </c>
      <c r="B129" s="3" t="s">
        <v>1676</v>
      </c>
      <c r="C129" s="3" t="s">
        <v>1588</v>
      </c>
      <c r="D129" s="3" t="s">
        <v>727</v>
      </c>
      <c r="E129" s="3" t="s">
        <v>2104</v>
      </c>
      <c r="F129" s="3" t="s">
        <v>217</v>
      </c>
      <c r="G129" s="3" t="s">
        <v>2105</v>
      </c>
      <c r="H129" s="3" t="s">
        <v>16</v>
      </c>
      <c r="I129" s="3" t="s">
        <v>2106</v>
      </c>
    </row>
    <row r="130" spans="1:9">
      <c r="A130" s="3" t="s">
        <v>120</v>
      </c>
      <c r="B130" s="3" t="s">
        <v>1676</v>
      </c>
      <c r="C130" s="3" t="s">
        <v>1588</v>
      </c>
      <c r="D130" s="3" t="s">
        <v>313</v>
      </c>
      <c r="E130" s="3" t="s">
        <v>2107</v>
      </c>
      <c r="F130" s="3" t="s">
        <v>217</v>
      </c>
      <c r="G130" s="3" t="s">
        <v>245</v>
      </c>
      <c r="H130" s="3" t="s">
        <v>16</v>
      </c>
      <c r="I130" s="3" t="s">
        <v>2108</v>
      </c>
    </row>
    <row r="131" spans="1:9">
      <c r="A131" s="3" t="s">
        <v>120</v>
      </c>
      <c r="B131" s="3" t="s">
        <v>1676</v>
      </c>
      <c r="C131" s="3" t="s">
        <v>1588</v>
      </c>
      <c r="D131" s="3" t="s">
        <v>2109</v>
      </c>
      <c r="E131" s="3" t="s">
        <v>1286</v>
      </c>
      <c r="F131" s="3" t="s">
        <v>217</v>
      </c>
      <c r="G131" s="3" t="s">
        <v>2110</v>
      </c>
      <c r="H131" s="3" t="s">
        <v>16</v>
      </c>
      <c r="I131" s="3" t="s">
        <v>2111</v>
      </c>
    </row>
    <row r="132" spans="1:9">
      <c r="A132" s="3" t="s">
        <v>120</v>
      </c>
      <c r="B132" s="3" t="s">
        <v>1676</v>
      </c>
      <c r="C132" s="3" t="s">
        <v>1588</v>
      </c>
      <c r="D132" s="3" t="s">
        <v>692</v>
      </c>
      <c r="E132" s="3" t="s">
        <v>2112</v>
      </c>
      <c r="F132" s="3" t="s">
        <v>217</v>
      </c>
      <c r="G132" s="3" t="s">
        <v>2113</v>
      </c>
      <c r="H132" s="3" t="s">
        <v>16</v>
      </c>
      <c r="I132" s="3" t="s">
        <v>2114</v>
      </c>
    </row>
    <row r="133" spans="1:9">
      <c r="A133" s="3" t="s">
        <v>120</v>
      </c>
      <c r="B133" s="3" t="s">
        <v>1676</v>
      </c>
      <c r="C133" s="3" t="s">
        <v>1588</v>
      </c>
      <c r="D133" s="3" t="s">
        <v>239</v>
      </c>
      <c r="E133" s="3" t="s">
        <v>2115</v>
      </c>
      <c r="F133" s="3" t="s">
        <v>217</v>
      </c>
      <c r="G133" s="3" t="s">
        <v>2116</v>
      </c>
      <c r="H133" s="3" t="s">
        <v>16</v>
      </c>
      <c r="I133" s="3" t="s">
        <v>2117</v>
      </c>
    </row>
    <row r="134" spans="1:9">
      <c r="A134" s="3" t="s">
        <v>120</v>
      </c>
      <c r="B134" s="3" t="s">
        <v>1676</v>
      </c>
      <c r="C134" s="3" t="s">
        <v>1588</v>
      </c>
      <c r="D134" s="3" t="s">
        <v>670</v>
      </c>
      <c r="E134" s="3" t="s">
        <v>631</v>
      </c>
      <c r="F134" s="3" t="s">
        <v>217</v>
      </c>
      <c r="G134" s="3" t="s">
        <v>674</v>
      </c>
      <c r="H134" s="3" t="s">
        <v>16</v>
      </c>
      <c r="I134" s="3" t="s">
        <v>2118</v>
      </c>
    </row>
    <row r="135" spans="1:9">
      <c r="A135" s="3" t="s">
        <v>120</v>
      </c>
      <c r="B135" s="3" t="s">
        <v>1676</v>
      </c>
      <c r="C135" s="3" t="s">
        <v>1588</v>
      </c>
      <c r="D135" s="3" t="s">
        <v>2119</v>
      </c>
      <c r="E135" s="3" t="s">
        <v>2120</v>
      </c>
      <c r="F135" s="3" t="s">
        <v>217</v>
      </c>
      <c r="G135" s="3" t="s">
        <v>2121</v>
      </c>
      <c r="H135" s="3" t="s">
        <v>16</v>
      </c>
      <c r="I135" s="3" t="s">
        <v>2122</v>
      </c>
    </row>
    <row r="136" spans="1:9">
      <c r="A136" s="3" t="s">
        <v>120</v>
      </c>
      <c r="B136" s="3" t="s">
        <v>1676</v>
      </c>
      <c r="C136" s="3" t="s">
        <v>1588</v>
      </c>
      <c r="D136" s="3" t="s">
        <v>45</v>
      </c>
      <c r="E136" s="3" t="s">
        <v>182</v>
      </c>
      <c r="F136" s="3" t="s">
        <v>217</v>
      </c>
      <c r="G136" s="3" t="s">
        <v>602</v>
      </c>
      <c r="H136" s="3" t="s">
        <v>16</v>
      </c>
      <c r="I136" s="3" t="s">
        <v>2123</v>
      </c>
    </row>
    <row r="137" spans="1:9">
      <c r="A137" s="3" t="s">
        <v>120</v>
      </c>
      <c r="B137" s="3" t="s">
        <v>1676</v>
      </c>
      <c r="C137" s="3" t="s">
        <v>1588</v>
      </c>
      <c r="D137" s="3" t="s">
        <v>2124</v>
      </c>
      <c r="E137" s="3" t="s">
        <v>2125</v>
      </c>
      <c r="F137" s="3" t="s">
        <v>217</v>
      </c>
      <c r="G137" s="3" t="s">
        <v>2126</v>
      </c>
      <c r="H137" s="3" t="s">
        <v>16</v>
      </c>
      <c r="I137" s="3" t="s">
        <v>2127</v>
      </c>
    </row>
    <row r="138" spans="1:9">
      <c r="A138" s="3" t="s">
        <v>120</v>
      </c>
      <c r="B138" s="3" t="s">
        <v>1615</v>
      </c>
      <c r="C138" s="3" t="s">
        <v>1588</v>
      </c>
      <c r="D138" s="3" t="s">
        <v>1616</v>
      </c>
      <c r="E138" s="3" t="s">
        <v>165</v>
      </c>
      <c r="F138" s="3" t="s">
        <v>217</v>
      </c>
      <c r="G138" s="3" t="s">
        <v>620</v>
      </c>
      <c r="H138" s="3" t="s">
        <v>323</v>
      </c>
      <c r="I138" s="3" t="s">
        <v>1617</v>
      </c>
    </row>
    <row r="139" spans="1:9">
      <c r="A139" s="3" t="s">
        <v>120</v>
      </c>
      <c r="B139" s="3" t="s">
        <v>1624</v>
      </c>
      <c r="C139" s="3" t="s">
        <v>1588</v>
      </c>
      <c r="D139" s="3" t="s">
        <v>1625</v>
      </c>
      <c r="E139" s="3" t="s">
        <v>1626</v>
      </c>
      <c r="F139" s="3" t="s">
        <v>217</v>
      </c>
      <c r="G139" s="3" t="s">
        <v>1627</v>
      </c>
      <c r="H139" s="3" t="s">
        <v>323</v>
      </c>
      <c r="I139" s="3" t="s">
        <v>1628</v>
      </c>
    </row>
    <row r="140" spans="1:9">
      <c r="A140" s="3" t="s">
        <v>120</v>
      </c>
      <c r="B140" s="3" t="s">
        <v>121</v>
      </c>
      <c r="C140" s="3" t="s">
        <v>11</v>
      </c>
      <c r="D140" s="3" t="s">
        <v>239</v>
      </c>
      <c r="E140" s="3" t="s">
        <v>240</v>
      </c>
      <c r="F140" s="3" t="s">
        <v>217</v>
      </c>
      <c r="G140" s="3" t="s">
        <v>241</v>
      </c>
      <c r="H140" s="3" t="s">
        <v>16</v>
      </c>
      <c r="I140" s="3" t="s">
        <v>242</v>
      </c>
    </row>
    <row r="141" spans="1:9">
      <c r="A141" s="3" t="s">
        <v>120</v>
      </c>
      <c r="B141" s="3" t="s">
        <v>121</v>
      </c>
      <c r="C141" s="3" t="s">
        <v>11</v>
      </c>
      <c r="D141" s="3" t="s">
        <v>243</v>
      </c>
      <c r="E141" s="3" t="s">
        <v>244</v>
      </c>
      <c r="F141" s="3" t="s">
        <v>217</v>
      </c>
      <c r="G141" s="3" t="s">
        <v>245</v>
      </c>
      <c r="H141" s="3" t="s">
        <v>16</v>
      </c>
      <c r="I141" s="3" t="s">
        <v>246</v>
      </c>
    </row>
    <row r="142" spans="1:9">
      <c r="A142" s="3" t="s">
        <v>120</v>
      </c>
      <c r="B142" s="3" t="s">
        <v>121</v>
      </c>
      <c r="C142" s="3" t="s">
        <v>11</v>
      </c>
      <c r="D142" s="3" t="s">
        <v>247</v>
      </c>
      <c r="E142" s="3" t="s">
        <v>248</v>
      </c>
      <c r="F142" s="3" t="s">
        <v>217</v>
      </c>
      <c r="G142" s="3"/>
      <c r="H142" s="3" t="s">
        <v>16</v>
      </c>
      <c r="I142" s="3" t="s">
        <v>249</v>
      </c>
    </row>
    <row r="143" spans="1:9">
      <c r="A143" s="3" t="s">
        <v>120</v>
      </c>
      <c r="B143" s="3" t="s">
        <v>121</v>
      </c>
      <c r="C143" s="3" t="s">
        <v>1588</v>
      </c>
      <c r="D143" s="3" t="s">
        <v>614</v>
      </c>
      <c r="E143" s="3" t="s">
        <v>1736</v>
      </c>
      <c r="F143" s="3" t="s">
        <v>217</v>
      </c>
      <c r="G143" s="3" t="s">
        <v>1737</v>
      </c>
      <c r="H143" s="3" t="s">
        <v>16</v>
      </c>
      <c r="I143" s="3" t="s">
        <v>1738</v>
      </c>
    </row>
    <row r="144" spans="1:9">
      <c r="A144" s="3" t="s">
        <v>120</v>
      </c>
      <c r="B144" s="3" t="s">
        <v>2070</v>
      </c>
      <c r="C144" s="3" t="s">
        <v>1588</v>
      </c>
      <c r="D144" s="3" t="s">
        <v>215</v>
      </c>
      <c r="E144" s="3" t="s">
        <v>1401</v>
      </c>
      <c r="F144" s="3" t="s">
        <v>217</v>
      </c>
      <c r="G144" s="3" t="s">
        <v>2071</v>
      </c>
      <c r="H144" s="3" t="s">
        <v>16</v>
      </c>
      <c r="I144" s="3" t="s">
        <v>2072</v>
      </c>
    </row>
    <row r="145" spans="1:9">
      <c r="A145" s="3" t="s">
        <v>120</v>
      </c>
      <c r="B145" s="3" t="s">
        <v>2070</v>
      </c>
      <c r="C145" s="3" t="s">
        <v>1588</v>
      </c>
      <c r="D145" s="3" t="s">
        <v>461</v>
      </c>
      <c r="E145" s="3" t="s">
        <v>2073</v>
      </c>
      <c r="F145" s="3" t="s">
        <v>217</v>
      </c>
      <c r="G145" s="3" t="s">
        <v>2074</v>
      </c>
      <c r="H145" s="3" t="s">
        <v>16</v>
      </c>
      <c r="I145" s="3" t="s">
        <v>2075</v>
      </c>
    </row>
    <row r="146" spans="1:9">
      <c r="A146" s="3" t="s">
        <v>120</v>
      </c>
      <c r="B146" s="3" t="s">
        <v>2070</v>
      </c>
      <c r="C146" s="3" t="s">
        <v>1588</v>
      </c>
      <c r="D146" s="3" t="s">
        <v>2076</v>
      </c>
      <c r="E146" s="3" t="s">
        <v>271</v>
      </c>
      <c r="F146" s="3" t="s">
        <v>217</v>
      </c>
      <c r="G146" s="3" t="s">
        <v>2077</v>
      </c>
      <c r="H146" s="3" t="s">
        <v>16</v>
      </c>
      <c r="I146" s="3" t="s">
        <v>2078</v>
      </c>
    </row>
    <row r="147" spans="1:9">
      <c r="A147" s="3" t="s">
        <v>120</v>
      </c>
      <c r="B147" s="3" t="s">
        <v>2070</v>
      </c>
      <c r="C147" s="3" t="s">
        <v>1588</v>
      </c>
      <c r="D147" s="3" t="s">
        <v>1118</v>
      </c>
      <c r="E147" s="3" t="s">
        <v>2079</v>
      </c>
      <c r="F147" s="3" t="s">
        <v>217</v>
      </c>
      <c r="G147" s="3" t="s">
        <v>2080</v>
      </c>
      <c r="H147" s="3" t="s">
        <v>16</v>
      </c>
      <c r="I147" s="3" t="s">
        <v>2081</v>
      </c>
    </row>
    <row r="148" spans="1:9">
      <c r="A148" s="3" t="s">
        <v>120</v>
      </c>
      <c r="B148" s="3" t="s">
        <v>2070</v>
      </c>
      <c r="C148" s="3" t="s">
        <v>1588</v>
      </c>
      <c r="D148" s="3" t="s">
        <v>1470</v>
      </c>
      <c r="E148" s="3" t="s">
        <v>2082</v>
      </c>
      <c r="F148" s="3" t="s">
        <v>217</v>
      </c>
      <c r="G148" s="3" t="s">
        <v>2083</v>
      </c>
      <c r="H148" s="3" t="s">
        <v>16</v>
      </c>
      <c r="I148" s="3" t="s">
        <v>2084</v>
      </c>
    </row>
    <row r="149" spans="1:9">
      <c r="A149" s="3" t="s">
        <v>120</v>
      </c>
      <c r="B149" s="3" t="s">
        <v>2070</v>
      </c>
      <c r="C149" s="3" t="s">
        <v>1588</v>
      </c>
      <c r="D149" s="3" t="s">
        <v>41</v>
      </c>
      <c r="E149" s="3" t="s">
        <v>2085</v>
      </c>
      <c r="F149" s="3" t="s">
        <v>217</v>
      </c>
      <c r="G149" s="3" t="s">
        <v>2086</v>
      </c>
      <c r="H149" s="3" t="s">
        <v>16</v>
      </c>
      <c r="I149" s="3" t="s">
        <v>2087</v>
      </c>
    </row>
    <row r="150" spans="1:9">
      <c r="A150" s="3" t="s">
        <v>120</v>
      </c>
      <c r="B150" s="3" t="s">
        <v>1712</v>
      </c>
      <c r="C150" s="3" t="s">
        <v>1588</v>
      </c>
      <c r="D150" s="3" t="s">
        <v>1713</v>
      </c>
      <c r="E150" s="3" t="s">
        <v>1714</v>
      </c>
      <c r="F150" s="3" t="s">
        <v>217</v>
      </c>
      <c r="G150" s="3" t="s">
        <v>1715</v>
      </c>
      <c r="H150" s="3" t="s">
        <v>16</v>
      </c>
      <c r="I150" s="3" t="s">
        <v>1716</v>
      </c>
    </row>
    <row r="151" spans="1:9">
      <c r="A151" s="3" t="s">
        <v>120</v>
      </c>
      <c r="B151" s="3" t="s">
        <v>1667</v>
      </c>
      <c r="C151" s="3" t="s">
        <v>1588</v>
      </c>
      <c r="D151" s="3" t="s">
        <v>1668</v>
      </c>
      <c r="E151" s="3" t="s">
        <v>1669</v>
      </c>
      <c r="F151" s="3" t="s">
        <v>217</v>
      </c>
      <c r="G151" s="3" t="s">
        <v>1670</v>
      </c>
      <c r="H151" s="3" t="s">
        <v>16</v>
      </c>
      <c r="I151" s="3" t="s">
        <v>1671</v>
      </c>
    </row>
    <row r="152" spans="1:9">
      <c r="A152" s="3" t="s">
        <v>120</v>
      </c>
      <c r="B152" s="3" t="s">
        <v>1991</v>
      </c>
      <c r="C152" s="3" t="s">
        <v>1588</v>
      </c>
      <c r="D152" s="3" t="s">
        <v>12</v>
      </c>
      <c r="E152" s="3" t="s">
        <v>2128</v>
      </c>
      <c r="F152" s="3" t="s">
        <v>225</v>
      </c>
      <c r="G152" s="3" t="s">
        <v>2129</v>
      </c>
      <c r="H152" s="3" t="s">
        <v>16</v>
      </c>
      <c r="I152" s="3" t="s">
        <v>2130</v>
      </c>
    </row>
    <row r="153" spans="1:9">
      <c r="A153" s="3" t="s">
        <v>120</v>
      </c>
      <c r="B153" s="3" t="s">
        <v>1780</v>
      </c>
      <c r="C153" s="3" t="s">
        <v>1588</v>
      </c>
      <c r="D153" s="3"/>
      <c r="E153" s="3" t="s">
        <v>1781</v>
      </c>
      <c r="F153" s="3" t="s">
        <v>217</v>
      </c>
      <c r="G153" s="3"/>
      <c r="H153" s="3" t="s">
        <v>16</v>
      </c>
      <c r="I153" s="3" t="s">
        <v>1782</v>
      </c>
    </row>
    <row r="154" spans="1:9">
      <c r="A154" s="3" t="s">
        <v>120</v>
      </c>
      <c r="B154" s="3" t="s">
        <v>1657</v>
      </c>
      <c r="C154" s="3" t="s">
        <v>1588</v>
      </c>
      <c r="D154" s="3" t="s">
        <v>142</v>
      </c>
      <c r="E154" s="3" t="s">
        <v>2136</v>
      </c>
      <c r="F154" s="3" t="s">
        <v>225</v>
      </c>
      <c r="G154" s="3" t="s">
        <v>2137</v>
      </c>
      <c r="H154" s="3" t="s">
        <v>16</v>
      </c>
      <c r="I154" s="3" t="s">
        <v>2138</v>
      </c>
    </row>
    <row r="155" spans="1:9">
      <c r="A155" s="3" t="s">
        <v>120</v>
      </c>
      <c r="B155" s="3" t="s">
        <v>1657</v>
      </c>
      <c r="C155" s="3" t="s">
        <v>1588</v>
      </c>
      <c r="D155" s="3" t="s">
        <v>228</v>
      </c>
      <c r="E155" s="3" t="s">
        <v>2139</v>
      </c>
      <c r="F155" s="3" t="s">
        <v>225</v>
      </c>
      <c r="G155" s="3" t="s">
        <v>2140</v>
      </c>
      <c r="H155" s="3" t="s">
        <v>16</v>
      </c>
      <c r="I155" s="3" t="s">
        <v>2141</v>
      </c>
    </row>
    <row r="156" spans="1:9">
      <c r="A156" s="3" t="s">
        <v>9</v>
      </c>
      <c r="B156" s="3" t="s">
        <v>10</v>
      </c>
      <c r="C156" s="3" t="s">
        <v>11</v>
      </c>
      <c r="D156" s="3" t="s">
        <v>12</v>
      </c>
      <c r="E156" s="3" t="s">
        <v>13</v>
      </c>
      <c r="F156" s="3" t="s">
        <v>14</v>
      </c>
      <c r="G156" s="3" t="s">
        <v>15</v>
      </c>
      <c r="H156" s="3" t="s">
        <v>16</v>
      </c>
      <c r="I156" s="3" t="s">
        <v>17</v>
      </c>
    </row>
    <row r="157" spans="1:9">
      <c r="A157" s="3" t="s">
        <v>9</v>
      </c>
      <c r="B157" s="3" t="s">
        <v>10</v>
      </c>
      <c r="C157" s="3" t="s">
        <v>11</v>
      </c>
      <c r="D157" s="3" t="s">
        <v>18</v>
      </c>
      <c r="E157" s="3" t="s">
        <v>19</v>
      </c>
      <c r="F157" s="3" t="s">
        <v>14</v>
      </c>
      <c r="G157" s="3" t="s">
        <v>20</v>
      </c>
      <c r="H157" s="3" t="s">
        <v>16</v>
      </c>
      <c r="I157" s="3" t="s">
        <v>21</v>
      </c>
    </row>
    <row r="158" spans="1:9">
      <c r="A158" s="3" t="s">
        <v>9</v>
      </c>
      <c r="B158" s="3" t="s">
        <v>10</v>
      </c>
      <c r="C158" s="3" t="s">
        <v>11</v>
      </c>
      <c r="D158" s="3" t="s">
        <v>22</v>
      </c>
      <c r="E158" s="3" t="s">
        <v>23</v>
      </c>
      <c r="F158" s="3" t="s">
        <v>14</v>
      </c>
      <c r="G158" s="3" t="s">
        <v>24</v>
      </c>
      <c r="H158" s="3" t="s">
        <v>16</v>
      </c>
      <c r="I158" s="3" t="s">
        <v>25</v>
      </c>
    </row>
    <row r="159" spans="1:9">
      <c r="A159" s="3" t="s">
        <v>9</v>
      </c>
      <c r="B159" s="3" t="s">
        <v>10</v>
      </c>
      <c r="C159" s="3" t="s">
        <v>11</v>
      </c>
      <c r="D159" s="3" t="s">
        <v>26</v>
      </c>
      <c r="E159" s="3" t="s">
        <v>27</v>
      </c>
      <c r="F159" s="3" t="s">
        <v>14</v>
      </c>
      <c r="G159" s="3" t="s">
        <v>28</v>
      </c>
      <c r="H159" s="3" t="s">
        <v>16</v>
      </c>
      <c r="I159" s="3" t="s">
        <v>29</v>
      </c>
    </row>
    <row r="160" spans="1:9">
      <c r="A160" s="3" t="s">
        <v>9</v>
      </c>
      <c r="B160" s="3" t="s">
        <v>10</v>
      </c>
      <c r="C160" s="3" t="s">
        <v>11</v>
      </c>
      <c r="D160" s="3" t="s">
        <v>30</v>
      </c>
      <c r="E160" s="3" t="s">
        <v>31</v>
      </c>
      <c r="F160" s="3" t="s">
        <v>14</v>
      </c>
      <c r="G160" s="3" t="s">
        <v>32</v>
      </c>
      <c r="H160" s="3" t="s">
        <v>16</v>
      </c>
      <c r="I160" s="3" t="s">
        <v>33</v>
      </c>
    </row>
    <row r="161" spans="1:9">
      <c r="A161" s="3" t="s">
        <v>9</v>
      </c>
      <c r="B161" s="3" t="s">
        <v>222</v>
      </c>
      <c r="C161" s="3" t="s">
        <v>11</v>
      </c>
      <c r="D161" s="3" t="s">
        <v>223</v>
      </c>
      <c r="E161" s="3" t="s">
        <v>224</v>
      </c>
      <c r="F161" s="3" t="s">
        <v>225</v>
      </c>
      <c r="G161" s="3" t="s">
        <v>226</v>
      </c>
      <c r="H161" s="3" t="s">
        <v>212</v>
      </c>
      <c r="I161" s="3" t="s">
        <v>227</v>
      </c>
    </row>
    <row r="162" spans="1:9">
      <c r="A162" s="3" t="s">
        <v>9</v>
      </c>
      <c r="B162" s="3" t="s">
        <v>222</v>
      </c>
      <c r="C162" s="3" t="s">
        <v>11</v>
      </c>
      <c r="D162" s="3" t="s">
        <v>228</v>
      </c>
      <c r="E162" s="3" t="s">
        <v>229</v>
      </c>
      <c r="F162" s="3" t="s">
        <v>225</v>
      </c>
      <c r="G162" s="3"/>
      <c r="H162" s="3" t="s">
        <v>212</v>
      </c>
      <c r="I162" s="3" t="s">
        <v>230</v>
      </c>
    </row>
    <row r="163" spans="1:9">
      <c r="A163" s="3" t="s">
        <v>9</v>
      </c>
      <c r="B163" s="3" t="s">
        <v>319</v>
      </c>
      <c r="C163" s="3" t="s">
        <v>320</v>
      </c>
      <c r="D163" s="3" t="s">
        <v>321</v>
      </c>
      <c r="E163" s="3" t="s">
        <v>322</v>
      </c>
      <c r="F163" s="3" t="s">
        <v>38</v>
      </c>
      <c r="G163" s="3"/>
      <c r="H163" s="3" t="s">
        <v>323</v>
      </c>
      <c r="I163" s="3" t="s">
        <v>324</v>
      </c>
    </row>
    <row r="164" spans="1:9">
      <c r="A164" s="3" t="s">
        <v>9</v>
      </c>
      <c r="B164" s="3" t="s">
        <v>351</v>
      </c>
      <c r="C164" s="3" t="s">
        <v>320</v>
      </c>
      <c r="D164" s="3" t="s">
        <v>107</v>
      </c>
      <c r="E164" s="3" t="s">
        <v>352</v>
      </c>
      <c r="F164" s="3" t="s">
        <v>38</v>
      </c>
      <c r="G164" s="3"/>
      <c r="H164" s="3" t="s">
        <v>323</v>
      </c>
      <c r="I164" s="3" t="s">
        <v>353</v>
      </c>
    </row>
    <row r="165" spans="1:9">
      <c r="A165" s="3" t="s">
        <v>9</v>
      </c>
      <c r="B165" s="3" t="s">
        <v>354</v>
      </c>
      <c r="C165" s="3" t="s">
        <v>320</v>
      </c>
      <c r="D165" s="3" t="s">
        <v>355</v>
      </c>
      <c r="E165" s="3" t="s">
        <v>356</v>
      </c>
      <c r="F165" s="3" t="s">
        <v>38</v>
      </c>
      <c r="G165" s="3"/>
      <c r="H165" s="3" t="s">
        <v>323</v>
      </c>
      <c r="I165" s="3" t="s">
        <v>357</v>
      </c>
    </row>
    <row r="166" spans="1:9">
      <c r="A166" s="3" t="s">
        <v>9</v>
      </c>
      <c r="B166" s="3" t="s">
        <v>354</v>
      </c>
      <c r="C166" s="3" t="s">
        <v>320</v>
      </c>
      <c r="D166" s="3" t="s">
        <v>358</v>
      </c>
      <c r="E166" s="3" t="s">
        <v>359</v>
      </c>
      <c r="F166" s="3" t="s">
        <v>38</v>
      </c>
      <c r="G166" s="3"/>
      <c r="H166" s="3" t="s">
        <v>323</v>
      </c>
      <c r="I166" s="3" t="s">
        <v>360</v>
      </c>
    </row>
    <row r="167" spans="1:9">
      <c r="A167" s="3" t="s">
        <v>9</v>
      </c>
      <c r="B167" s="3" t="s">
        <v>354</v>
      </c>
      <c r="C167" s="3" t="s">
        <v>320</v>
      </c>
      <c r="D167" s="3" t="s">
        <v>361</v>
      </c>
      <c r="E167" s="3" t="s">
        <v>362</v>
      </c>
      <c r="F167" s="3" t="s">
        <v>38</v>
      </c>
      <c r="G167" s="3"/>
      <c r="H167" s="3" t="s">
        <v>323</v>
      </c>
      <c r="I167" s="3" t="s">
        <v>363</v>
      </c>
    </row>
    <row r="168" spans="1:9">
      <c r="A168" s="3" t="s">
        <v>9</v>
      </c>
      <c r="B168" s="3" t="s">
        <v>354</v>
      </c>
      <c r="C168" s="3" t="s">
        <v>320</v>
      </c>
      <c r="D168" s="3" t="s">
        <v>348</v>
      </c>
      <c r="E168" s="3" t="s">
        <v>364</v>
      </c>
      <c r="F168" s="3" t="s">
        <v>38</v>
      </c>
      <c r="G168" s="3" t="s">
        <v>365</v>
      </c>
      <c r="H168" s="3" t="s">
        <v>323</v>
      </c>
      <c r="I168" s="3" t="s">
        <v>366</v>
      </c>
    </row>
    <row r="169" spans="1:9">
      <c r="A169" s="3" t="s">
        <v>9</v>
      </c>
      <c r="B169" s="3" t="s">
        <v>354</v>
      </c>
      <c r="C169" s="3" t="s">
        <v>320</v>
      </c>
      <c r="D169" s="3" t="s">
        <v>367</v>
      </c>
      <c r="E169" s="3" t="s">
        <v>368</v>
      </c>
      <c r="F169" s="3" t="s">
        <v>38</v>
      </c>
      <c r="G169" s="3"/>
      <c r="H169" s="3" t="s">
        <v>323</v>
      </c>
      <c r="I169" s="3" t="s">
        <v>369</v>
      </c>
    </row>
    <row r="170" spans="1:9">
      <c r="A170" s="3" t="s">
        <v>9</v>
      </c>
      <c r="B170" s="3" t="s">
        <v>354</v>
      </c>
      <c r="C170" s="3" t="s">
        <v>320</v>
      </c>
      <c r="D170" s="3" t="s">
        <v>282</v>
      </c>
      <c r="E170" s="3" t="s">
        <v>370</v>
      </c>
      <c r="F170" s="3" t="s">
        <v>38</v>
      </c>
      <c r="G170" s="3"/>
      <c r="H170" s="3" t="s">
        <v>323</v>
      </c>
      <c r="I170" s="3" t="s">
        <v>371</v>
      </c>
    </row>
    <row r="171" spans="1:9">
      <c r="A171" s="3" t="s">
        <v>9</v>
      </c>
      <c r="B171" s="3" t="s">
        <v>354</v>
      </c>
      <c r="C171" s="3" t="s">
        <v>320</v>
      </c>
      <c r="D171" s="3" t="s">
        <v>328</v>
      </c>
      <c r="E171" s="3" t="s">
        <v>372</v>
      </c>
      <c r="F171" s="3" t="s">
        <v>38</v>
      </c>
      <c r="G171" s="3"/>
      <c r="H171" s="3" t="s">
        <v>323</v>
      </c>
      <c r="I171" s="3" t="s">
        <v>373</v>
      </c>
    </row>
    <row r="172" spans="1:9">
      <c r="A172" s="3" t="s">
        <v>9</v>
      </c>
      <c r="B172" s="3" t="s">
        <v>374</v>
      </c>
      <c r="C172" s="3" t="s">
        <v>320</v>
      </c>
      <c r="D172" s="3" t="s">
        <v>239</v>
      </c>
      <c r="E172" s="3" t="s">
        <v>375</v>
      </c>
      <c r="F172" s="3" t="s">
        <v>38</v>
      </c>
      <c r="G172" s="3"/>
      <c r="H172" s="3" t="s">
        <v>323</v>
      </c>
      <c r="I172" s="3" t="s">
        <v>376</v>
      </c>
    </row>
    <row r="173" spans="1:9">
      <c r="A173" s="3" t="s">
        <v>9</v>
      </c>
      <c r="B173" s="3" t="s">
        <v>374</v>
      </c>
      <c r="C173" s="3" t="s">
        <v>320</v>
      </c>
      <c r="D173" s="3" t="s">
        <v>377</v>
      </c>
      <c r="E173" s="3" t="s">
        <v>378</v>
      </c>
      <c r="F173" s="3" t="s">
        <v>38</v>
      </c>
      <c r="G173" s="3" t="s">
        <v>379</v>
      </c>
      <c r="H173" s="3" t="s">
        <v>323</v>
      </c>
      <c r="I173" s="3" t="s">
        <v>380</v>
      </c>
    </row>
    <row r="174" spans="1:9">
      <c r="A174" s="3" t="s">
        <v>9</v>
      </c>
      <c r="B174" s="3" t="s">
        <v>381</v>
      </c>
      <c r="C174" s="3" t="s">
        <v>320</v>
      </c>
      <c r="D174" s="3" t="s">
        <v>30</v>
      </c>
      <c r="E174" s="3" t="s">
        <v>382</v>
      </c>
      <c r="F174" s="3" t="s">
        <v>38</v>
      </c>
      <c r="G174" s="3"/>
      <c r="H174" s="3" t="s">
        <v>323</v>
      </c>
      <c r="I174" s="3" t="s">
        <v>383</v>
      </c>
    </row>
    <row r="175" spans="1:9">
      <c r="A175" s="3" t="s">
        <v>9</v>
      </c>
      <c r="B175" s="3" t="s">
        <v>381</v>
      </c>
      <c r="C175" s="3" t="s">
        <v>320</v>
      </c>
      <c r="D175" s="3" t="s">
        <v>41</v>
      </c>
      <c r="E175" s="3" t="s">
        <v>384</v>
      </c>
      <c r="F175" s="3" t="s">
        <v>38</v>
      </c>
      <c r="G175" s="3" t="s">
        <v>385</v>
      </c>
      <c r="H175" s="3" t="s">
        <v>323</v>
      </c>
      <c r="I175" s="3" t="s">
        <v>386</v>
      </c>
    </row>
    <row r="176" spans="1:9">
      <c r="A176" s="3" t="s">
        <v>9</v>
      </c>
      <c r="B176" s="3" t="s">
        <v>354</v>
      </c>
      <c r="C176" s="3" t="s">
        <v>320</v>
      </c>
      <c r="D176" s="3" t="s">
        <v>404</v>
      </c>
      <c r="E176" s="3" t="s">
        <v>405</v>
      </c>
      <c r="F176" s="3" t="s">
        <v>38</v>
      </c>
      <c r="G176" s="3" t="s">
        <v>406</v>
      </c>
      <c r="H176" s="3" t="s">
        <v>323</v>
      </c>
      <c r="I176" s="3" t="s">
        <v>407</v>
      </c>
    </row>
    <row r="177" spans="1:9">
      <c r="A177" s="3" t="s">
        <v>9</v>
      </c>
      <c r="B177" s="3" t="s">
        <v>408</v>
      </c>
      <c r="C177" s="3" t="s">
        <v>320</v>
      </c>
      <c r="D177" s="3" t="s">
        <v>41</v>
      </c>
      <c r="E177" s="3" t="s">
        <v>409</v>
      </c>
      <c r="F177" s="3" t="s">
        <v>38</v>
      </c>
      <c r="G177" s="3" t="s">
        <v>385</v>
      </c>
      <c r="H177" s="3" t="s">
        <v>323</v>
      </c>
      <c r="I177" s="3" t="s">
        <v>410</v>
      </c>
    </row>
    <row r="178" spans="1:9">
      <c r="A178" s="3" t="s">
        <v>9</v>
      </c>
      <c r="B178" s="3" t="s">
        <v>419</v>
      </c>
      <c r="C178" s="3" t="s">
        <v>320</v>
      </c>
      <c r="D178" s="3" t="s">
        <v>420</v>
      </c>
      <c r="E178" s="3" t="s">
        <v>421</v>
      </c>
      <c r="F178" s="3" t="s">
        <v>38</v>
      </c>
      <c r="G178" s="3" t="s">
        <v>422</v>
      </c>
      <c r="H178" s="3" t="s">
        <v>323</v>
      </c>
      <c r="I178" s="3" t="s">
        <v>423</v>
      </c>
    </row>
    <row r="179" spans="1:9">
      <c r="A179" s="3" t="s">
        <v>9</v>
      </c>
      <c r="B179" s="3" t="s">
        <v>424</v>
      </c>
      <c r="C179" s="3" t="s">
        <v>320</v>
      </c>
      <c r="D179" s="3" t="s">
        <v>425</v>
      </c>
      <c r="E179" s="3" t="s">
        <v>426</v>
      </c>
      <c r="F179" s="3" t="s">
        <v>38</v>
      </c>
      <c r="G179" s="3" t="s">
        <v>427</v>
      </c>
      <c r="H179" s="3" t="s">
        <v>323</v>
      </c>
      <c r="I179" s="3" t="s">
        <v>428</v>
      </c>
    </row>
    <row r="180" spans="1:9">
      <c r="A180" s="3" t="s">
        <v>9</v>
      </c>
      <c r="B180" s="3" t="s">
        <v>431</v>
      </c>
      <c r="C180" s="3" t="s">
        <v>320</v>
      </c>
      <c r="D180" s="3" t="s">
        <v>271</v>
      </c>
      <c r="E180" s="3" t="s">
        <v>432</v>
      </c>
      <c r="F180" s="3" t="s">
        <v>38</v>
      </c>
      <c r="G180" s="3" t="s">
        <v>433</v>
      </c>
      <c r="H180" s="3" t="s">
        <v>323</v>
      </c>
      <c r="I180" s="3" t="s">
        <v>434</v>
      </c>
    </row>
    <row r="181" spans="1:9">
      <c r="A181" s="3" t="s">
        <v>9</v>
      </c>
      <c r="B181" s="3" t="s">
        <v>492</v>
      </c>
      <c r="C181" s="3" t="s">
        <v>320</v>
      </c>
      <c r="D181" s="3" t="s">
        <v>107</v>
      </c>
      <c r="E181" s="3" t="s">
        <v>493</v>
      </c>
      <c r="F181" s="3" t="s">
        <v>38</v>
      </c>
      <c r="G181" s="3" t="s">
        <v>494</v>
      </c>
      <c r="H181" s="3" t="s">
        <v>16</v>
      </c>
      <c r="I181" s="3" t="s">
        <v>495</v>
      </c>
    </row>
    <row r="182" spans="1:9">
      <c r="A182" s="3" t="s">
        <v>9</v>
      </c>
      <c r="B182" s="3" t="s">
        <v>539</v>
      </c>
      <c r="C182" s="3" t="s">
        <v>320</v>
      </c>
      <c r="D182" s="3" t="s">
        <v>282</v>
      </c>
      <c r="E182" s="3" t="s">
        <v>540</v>
      </c>
      <c r="F182" s="3" t="s">
        <v>14</v>
      </c>
      <c r="G182" s="3" t="s">
        <v>541</v>
      </c>
      <c r="H182" s="3" t="s">
        <v>16</v>
      </c>
      <c r="I182" s="3" t="s">
        <v>542</v>
      </c>
    </row>
    <row r="183" spans="1:9">
      <c r="A183" s="3" t="s">
        <v>9</v>
      </c>
      <c r="B183" s="3" t="s">
        <v>374</v>
      </c>
      <c r="C183" s="3" t="s">
        <v>320</v>
      </c>
      <c r="D183" s="3" t="s">
        <v>575</v>
      </c>
      <c r="E183" s="3" t="s">
        <v>576</v>
      </c>
      <c r="F183" s="3" t="s">
        <v>38</v>
      </c>
      <c r="G183" s="3" t="s">
        <v>577</v>
      </c>
      <c r="H183" s="3" t="s">
        <v>16</v>
      </c>
      <c r="I183" s="3" t="s">
        <v>578</v>
      </c>
    </row>
    <row r="184" spans="1:9">
      <c r="A184" s="3" t="s">
        <v>9</v>
      </c>
      <c r="B184" s="3" t="s">
        <v>583</v>
      </c>
      <c r="C184" s="3" t="s">
        <v>320</v>
      </c>
      <c r="D184" s="3" t="s">
        <v>316</v>
      </c>
      <c r="E184" s="3" t="s">
        <v>584</v>
      </c>
      <c r="F184" s="3" t="s">
        <v>38</v>
      </c>
      <c r="G184" s="3" t="s">
        <v>585</v>
      </c>
      <c r="H184" s="3" t="s">
        <v>16</v>
      </c>
      <c r="I184" s="3" t="s">
        <v>586</v>
      </c>
    </row>
    <row r="185" spans="1:9">
      <c r="A185" s="3" t="s">
        <v>9</v>
      </c>
      <c r="B185" s="3" t="s">
        <v>583</v>
      </c>
      <c r="C185" s="3" t="s">
        <v>320</v>
      </c>
      <c r="D185" s="3" t="s">
        <v>165</v>
      </c>
      <c r="E185" s="3" t="s">
        <v>592</v>
      </c>
      <c r="F185" s="3" t="s">
        <v>38</v>
      </c>
      <c r="G185" s="3" t="s">
        <v>593</v>
      </c>
      <c r="H185" s="3" t="s">
        <v>16</v>
      </c>
      <c r="I185" s="3" t="s">
        <v>594</v>
      </c>
    </row>
    <row r="186" spans="1:9">
      <c r="A186" s="3" t="s">
        <v>9</v>
      </c>
      <c r="B186" s="3" t="s">
        <v>539</v>
      </c>
      <c r="C186" s="3" t="s">
        <v>320</v>
      </c>
      <c r="D186" s="3" t="s">
        <v>595</v>
      </c>
      <c r="E186" s="3" t="s">
        <v>596</v>
      </c>
      <c r="F186" s="3" t="s">
        <v>14</v>
      </c>
      <c r="G186" s="3" t="s">
        <v>597</v>
      </c>
      <c r="H186" s="3" t="s">
        <v>323</v>
      </c>
      <c r="I186" s="3" t="s">
        <v>598</v>
      </c>
    </row>
    <row r="187" spans="1:9">
      <c r="A187" s="3" t="s">
        <v>9</v>
      </c>
      <c r="B187" s="3" t="s">
        <v>609</v>
      </c>
      <c r="C187" s="3" t="s">
        <v>320</v>
      </c>
      <c r="D187" s="3" t="s">
        <v>239</v>
      </c>
      <c r="E187" s="3" t="s">
        <v>610</v>
      </c>
      <c r="F187" s="3" t="s">
        <v>38</v>
      </c>
      <c r="G187" s="3" t="s">
        <v>611</v>
      </c>
      <c r="H187" s="3" t="s">
        <v>16</v>
      </c>
      <c r="I187" s="3" t="s">
        <v>612</v>
      </c>
    </row>
    <row r="188" spans="1:9">
      <c r="A188" s="3" t="s">
        <v>9</v>
      </c>
      <c r="B188" s="3" t="s">
        <v>622</v>
      </c>
      <c r="C188" s="3" t="s">
        <v>320</v>
      </c>
      <c r="D188" s="3" t="s">
        <v>358</v>
      </c>
      <c r="E188" s="3" t="s">
        <v>623</v>
      </c>
      <c r="F188" s="3" t="s">
        <v>38</v>
      </c>
      <c r="G188" s="3" t="s">
        <v>264</v>
      </c>
      <c r="H188" s="3" t="s">
        <v>16</v>
      </c>
      <c r="I188" s="3" t="s">
        <v>624</v>
      </c>
    </row>
    <row r="189" spans="1:9">
      <c r="A189" s="3" t="s">
        <v>9</v>
      </c>
      <c r="B189" s="3" t="s">
        <v>653</v>
      </c>
      <c r="C189" s="3" t="s">
        <v>320</v>
      </c>
      <c r="D189" s="3" t="s">
        <v>654</v>
      </c>
      <c r="E189" s="3" t="s">
        <v>655</v>
      </c>
      <c r="F189" s="3" t="s">
        <v>217</v>
      </c>
      <c r="G189" s="3" t="s">
        <v>656</v>
      </c>
      <c r="H189" s="3" t="s">
        <v>16</v>
      </c>
      <c r="I189" s="3" t="s">
        <v>657</v>
      </c>
    </row>
    <row r="190" spans="1:9">
      <c r="A190" s="3" t="s">
        <v>9</v>
      </c>
      <c r="B190" s="3" t="s">
        <v>658</v>
      </c>
      <c r="C190" s="3" t="s">
        <v>320</v>
      </c>
      <c r="D190" s="3" t="s">
        <v>659</v>
      </c>
      <c r="E190" s="3" t="s">
        <v>660</v>
      </c>
      <c r="F190" s="3" t="s">
        <v>217</v>
      </c>
      <c r="G190" s="3" t="s">
        <v>661</v>
      </c>
      <c r="H190" s="3" t="s">
        <v>16</v>
      </c>
      <c r="I190" s="3" t="s">
        <v>662</v>
      </c>
    </row>
    <row r="191" spans="1:9">
      <c r="A191" s="3" t="s">
        <v>9</v>
      </c>
      <c r="B191" s="3" t="s">
        <v>663</v>
      </c>
      <c r="C191" s="3" t="s">
        <v>320</v>
      </c>
      <c r="D191" s="3" t="s">
        <v>173</v>
      </c>
      <c r="E191" s="3" t="s">
        <v>664</v>
      </c>
      <c r="F191" s="3" t="s">
        <v>217</v>
      </c>
      <c r="G191" s="3" t="s">
        <v>620</v>
      </c>
      <c r="H191" s="3" t="s">
        <v>16</v>
      </c>
      <c r="I191" s="3" t="s">
        <v>665</v>
      </c>
    </row>
    <row r="192" spans="1:9">
      <c r="A192" s="3" t="s">
        <v>9</v>
      </c>
      <c r="B192" s="3" t="s">
        <v>666</v>
      </c>
      <c r="C192" s="3" t="s">
        <v>320</v>
      </c>
      <c r="D192" s="3" t="s">
        <v>667</v>
      </c>
      <c r="E192" s="3" t="s">
        <v>497</v>
      </c>
      <c r="F192" s="3" t="s">
        <v>38</v>
      </c>
      <c r="G192" s="3" t="s">
        <v>668</v>
      </c>
      <c r="H192" s="3" t="s">
        <v>16</v>
      </c>
      <c r="I192" s="3" t="s">
        <v>669</v>
      </c>
    </row>
    <row r="193" spans="1:9">
      <c r="A193" s="3" t="s">
        <v>9</v>
      </c>
      <c r="B193" s="3" t="s">
        <v>666</v>
      </c>
      <c r="C193" s="3" t="s">
        <v>320</v>
      </c>
      <c r="D193" s="3" t="s">
        <v>670</v>
      </c>
      <c r="E193" s="3" t="s">
        <v>671</v>
      </c>
      <c r="F193" s="3" t="s">
        <v>38</v>
      </c>
      <c r="G193" s="3" t="s">
        <v>433</v>
      </c>
      <c r="H193" s="3" t="s">
        <v>16</v>
      </c>
      <c r="I193" s="3" t="s">
        <v>672</v>
      </c>
    </row>
    <row r="194" spans="1:9">
      <c r="A194" s="3" t="s">
        <v>9</v>
      </c>
      <c r="B194" s="3" t="s">
        <v>381</v>
      </c>
      <c r="C194" s="3" t="s">
        <v>320</v>
      </c>
      <c r="D194" s="3" t="s">
        <v>692</v>
      </c>
      <c r="E194" s="3" t="s">
        <v>693</v>
      </c>
      <c r="F194" s="3" t="s">
        <v>217</v>
      </c>
      <c r="G194" s="3" t="s">
        <v>694</v>
      </c>
      <c r="H194" s="3" t="s">
        <v>16</v>
      </c>
      <c r="I194" s="3" t="s">
        <v>695</v>
      </c>
    </row>
    <row r="195" spans="1:9">
      <c r="A195" s="3" t="s">
        <v>9</v>
      </c>
      <c r="B195" s="3" t="s">
        <v>539</v>
      </c>
      <c r="C195" s="3" t="s">
        <v>320</v>
      </c>
      <c r="D195" s="3" t="s">
        <v>125</v>
      </c>
      <c r="E195" s="3" t="s">
        <v>696</v>
      </c>
      <c r="F195" s="3" t="s">
        <v>14</v>
      </c>
      <c r="G195" s="3" t="s">
        <v>697</v>
      </c>
      <c r="H195" s="3" t="s">
        <v>323</v>
      </c>
      <c r="I195" s="3" t="s">
        <v>698</v>
      </c>
    </row>
    <row r="196" spans="1:9">
      <c r="A196" s="3" t="s">
        <v>9</v>
      </c>
      <c r="B196" s="3" t="s">
        <v>583</v>
      </c>
      <c r="C196" s="3" t="s">
        <v>320</v>
      </c>
      <c r="D196" s="3" t="s">
        <v>509</v>
      </c>
      <c r="E196" s="3" t="s">
        <v>699</v>
      </c>
      <c r="F196" s="3" t="s">
        <v>38</v>
      </c>
      <c r="G196" s="3" t="s">
        <v>433</v>
      </c>
      <c r="H196" s="3" t="s">
        <v>16</v>
      </c>
      <c r="I196" s="3" t="s">
        <v>700</v>
      </c>
    </row>
    <row r="197" spans="1:9">
      <c r="A197" s="3" t="s">
        <v>9</v>
      </c>
      <c r="B197" s="3" t="s">
        <v>583</v>
      </c>
      <c r="C197" s="3" t="s">
        <v>320</v>
      </c>
      <c r="D197" s="3" t="s">
        <v>701</v>
      </c>
      <c r="E197" s="3" t="s">
        <v>702</v>
      </c>
      <c r="F197" s="3" t="s">
        <v>38</v>
      </c>
      <c r="G197" s="3" t="s">
        <v>703</v>
      </c>
      <c r="H197" s="3" t="s">
        <v>16</v>
      </c>
      <c r="I197" s="3" t="s">
        <v>704</v>
      </c>
    </row>
    <row r="198" spans="1:9">
      <c r="A198" s="3" t="s">
        <v>9</v>
      </c>
      <c r="B198" s="3" t="s">
        <v>583</v>
      </c>
      <c r="C198" s="3" t="s">
        <v>320</v>
      </c>
      <c r="D198" s="3" t="s">
        <v>316</v>
      </c>
      <c r="E198" s="3" t="s">
        <v>705</v>
      </c>
      <c r="F198" s="3" t="s">
        <v>38</v>
      </c>
      <c r="G198" s="3"/>
      <c r="H198" s="3" t="s">
        <v>16</v>
      </c>
      <c r="I198" s="3" t="s">
        <v>706</v>
      </c>
    </row>
    <row r="199" spans="1:9">
      <c r="A199" s="3" t="s">
        <v>9</v>
      </c>
      <c r="B199" s="3" t="s">
        <v>663</v>
      </c>
      <c r="C199" s="3" t="s">
        <v>320</v>
      </c>
      <c r="D199" s="3" t="s">
        <v>707</v>
      </c>
      <c r="E199" s="3" t="s">
        <v>708</v>
      </c>
      <c r="F199" s="3" t="s">
        <v>38</v>
      </c>
      <c r="G199" s="3" t="s">
        <v>709</v>
      </c>
      <c r="H199" s="3" t="s">
        <v>16</v>
      </c>
      <c r="I199" s="3" t="s">
        <v>710</v>
      </c>
    </row>
    <row r="200" spans="1:9">
      <c r="A200" s="3" t="s">
        <v>9</v>
      </c>
      <c r="B200" s="3" t="s">
        <v>663</v>
      </c>
      <c r="C200" s="3" t="s">
        <v>320</v>
      </c>
      <c r="D200" s="3" t="s">
        <v>711</v>
      </c>
      <c r="E200" s="3" t="s">
        <v>712</v>
      </c>
      <c r="F200" s="3" t="s">
        <v>38</v>
      </c>
      <c r="G200" s="3" t="s">
        <v>713</v>
      </c>
      <c r="H200" s="3" t="s">
        <v>16</v>
      </c>
      <c r="I200" s="3" t="s">
        <v>714</v>
      </c>
    </row>
    <row r="201" spans="1:9">
      <c r="A201" s="3" t="s">
        <v>9</v>
      </c>
      <c r="B201" s="3" t="s">
        <v>663</v>
      </c>
      <c r="C201" s="3" t="s">
        <v>320</v>
      </c>
      <c r="D201" s="3" t="s">
        <v>509</v>
      </c>
      <c r="E201" s="3" t="s">
        <v>715</v>
      </c>
      <c r="F201" s="3" t="s">
        <v>38</v>
      </c>
      <c r="G201" s="3" t="s">
        <v>716</v>
      </c>
      <c r="H201" s="3" t="s">
        <v>16</v>
      </c>
      <c r="I201" s="3" t="s">
        <v>717</v>
      </c>
    </row>
    <row r="202" spans="1:9">
      <c r="A202" s="3" t="s">
        <v>9</v>
      </c>
      <c r="B202" s="3" t="s">
        <v>408</v>
      </c>
      <c r="C202" s="3" t="s">
        <v>320</v>
      </c>
      <c r="D202" s="3" t="s">
        <v>659</v>
      </c>
      <c r="E202" s="3" t="s">
        <v>718</v>
      </c>
      <c r="F202" s="3" t="s">
        <v>38</v>
      </c>
      <c r="G202" s="3" t="s">
        <v>433</v>
      </c>
      <c r="H202" s="3" t="s">
        <v>16</v>
      </c>
      <c r="I202" s="3" t="s">
        <v>719</v>
      </c>
    </row>
    <row r="203" spans="1:9">
      <c r="A203" s="3" t="s">
        <v>9</v>
      </c>
      <c r="B203" s="3" t="s">
        <v>622</v>
      </c>
      <c r="C203" s="3" t="s">
        <v>320</v>
      </c>
      <c r="D203" s="3" t="s">
        <v>720</v>
      </c>
      <c r="E203" s="3" t="s">
        <v>721</v>
      </c>
      <c r="F203" s="3" t="s">
        <v>38</v>
      </c>
      <c r="G203" s="3" t="s">
        <v>511</v>
      </c>
      <c r="H203" s="3" t="s">
        <v>16</v>
      </c>
      <c r="I203" s="3" t="s">
        <v>722</v>
      </c>
    </row>
    <row r="204" spans="1:9">
      <c r="A204" s="3" t="s">
        <v>9</v>
      </c>
      <c r="B204" s="3" t="s">
        <v>374</v>
      </c>
      <c r="C204" s="3" t="s">
        <v>320</v>
      </c>
      <c r="D204" s="3" t="s">
        <v>723</v>
      </c>
      <c r="E204" s="3" t="s">
        <v>724</v>
      </c>
      <c r="F204" s="3" t="s">
        <v>38</v>
      </c>
      <c r="G204" s="3" t="s">
        <v>725</v>
      </c>
      <c r="H204" s="3" t="s">
        <v>16</v>
      </c>
      <c r="I204" s="3" t="s">
        <v>726</v>
      </c>
    </row>
    <row r="205" spans="1:9">
      <c r="A205" s="3" t="s">
        <v>9</v>
      </c>
      <c r="B205" s="3" t="s">
        <v>609</v>
      </c>
      <c r="C205" s="3" t="s">
        <v>320</v>
      </c>
      <c r="D205" s="3" t="s">
        <v>727</v>
      </c>
      <c r="E205" s="3" t="s">
        <v>728</v>
      </c>
      <c r="F205" s="3" t="s">
        <v>38</v>
      </c>
      <c r="G205" s="3" t="s">
        <v>729</v>
      </c>
      <c r="H205" s="3" t="s">
        <v>16</v>
      </c>
      <c r="I205" s="3" t="s">
        <v>730</v>
      </c>
    </row>
    <row r="206" spans="1:9">
      <c r="A206" s="3" t="s">
        <v>9</v>
      </c>
      <c r="B206" s="3" t="s">
        <v>354</v>
      </c>
      <c r="C206" s="3" t="s">
        <v>320</v>
      </c>
      <c r="D206" s="3" t="s">
        <v>358</v>
      </c>
      <c r="E206" s="3" t="s">
        <v>746</v>
      </c>
      <c r="F206" s="3" t="s">
        <v>38</v>
      </c>
      <c r="G206" s="3" t="s">
        <v>747</v>
      </c>
      <c r="H206" s="3" t="s">
        <v>16</v>
      </c>
      <c r="I206" s="3" t="s">
        <v>748</v>
      </c>
    </row>
    <row r="207" spans="1:9">
      <c r="A207" s="3" t="s">
        <v>9</v>
      </c>
      <c r="B207" s="3" t="s">
        <v>354</v>
      </c>
      <c r="C207" s="3" t="s">
        <v>320</v>
      </c>
      <c r="D207" s="3" t="s">
        <v>282</v>
      </c>
      <c r="E207" s="3" t="s">
        <v>749</v>
      </c>
      <c r="F207" s="3" t="s">
        <v>38</v>
      </c>
      <c r="G207" s="3" t="s">
        <v>511</v>
      </c>
      <c r="H207" s="3" t="s">
        <v>16</v>
      </c>
      <c r="I207" s="3" t="s">
        <v>750</v>
      </c>
    </row>
    <row r="208" spans="1:9">
      <c r="A208" s="3" t="s">
        <v>9</v>
      </c>
      <c r="B208" s="3" t="s">
        <v>796</v>
      </c>
      <c r="C208" s="3" t="s">
        <v>320</v>
      </c>
      <c r="D208" s="3" t="s">
        <v>367</v>
      </c>
      <c r="E208" s="3" t="s">
        <v>797</v>
      </c>
      <c r="F208" s="3" t="s">
        <v>38</v>
      </c>
      <c r="G208" s="3" t="s">
        <v>798</v>
      </c>
      <c r="H208" s="3" t="s">
        <v>16</v>
      </c>
      <c r="I208" s="3" t="s">
        <v>799</v>
      </c>
    </row>
    <row r="209" spans="1:9">
      <c r="A209" s="3" t="s">
        <v>9</v>
      </c>
      <c r="B209" s="3" t="s">
        <v>804</v>
      </c>
      <c r="C209" s="3" t="s">
        <v>320</v>
      </c>
      <c r="D209" s="3" t="s">
        <v>692</v>
      </c>
      <c r="E209" s="3" t="s">
        <v>805</v>
      </c>
      <c r="F209" s="3" t="s">
        <v>38</v>
      </c>
      <c r="G209" s="3" t="s">
        <v>806</v>
      </c>
      <c r="H209" s="3" t="s">
        <v>16</v>
      </c>
      <c r="I209" s="3" t="s">
        <v>807</v>
      </c>
    </row>
    <row r="210" spans="1:9">
      <c r="A210" s="3" t="s">
        <v>9</v>
      </c>
      <c r="B210" s="3" t="s">
        <v>808</v>
      </c>
      <c r="C210" s="3" t="s">
        <v>320</v>
      </c>
      <c r="D210" s="3" t="s">
        <v>809</v>
      </c>
      <c r="E210" s="3" t="s">
        <v>810</v>
      </c>
      <c r="F210" s="3" t="s">
        <v>38</v>
      </c>
      <c r="G210" s="3" t="s">
        <v>811</v>
      </c>
      <c r="H210" s="3" t="s">
        <v>16</v>
      </c>
      <c r="I210" s="3" t="s">
        <v>812</v>
      </c>
    </row>
    <row r="211" spans="1:9">
      <c r="A211" s="3" t="s">
        <v>9</v>
      </c>
      <c r="B211" s="3" t="s">
        <v>813</v>
      </c>
      <c r="C211" s="3" t="s">
        <v>320</v>
      </c>
      <c r="D211" s="3" t="s">
        <v>509</v>
      </c>
      <c r="E211" s="3" t="s">
        <v>814</v>
      </c>
      <c r="F211" s="3" t="s">
        <v>38</v>
      </c>
      <c r="G211" s="3" t="s">
        <v>674</v>
      </c>
      <c r="H211" s="3" t="s">
        <v>16</v>
      </c>
      <c r="I211" s="3" t="s">
        <v>815</v>
      </c>
    </row>
    <row r="212" spans="1:9">
      <c r="A212" s="3" t="s">
        <v>9</v>
      </c>
      <c r="B212" s="3" t="s">
        <v>816</v>
      </c>
      <c r="C212" s="3" t="s">
        <v>320</v>
      </c>
      <c r="D212" s="3" t="s">
        <v>817</v>
      </c>
      <c r="E212" s="3" t="s">
        <v>818</v>
      </c>
      <c r="F212" s="3" t="s">
        <v>38</v>
      </c>
      <c r="G212" s="3" t="s">
        <v>819</v>
      </c>
      <c r="H212" s="3" t="s">
        <v>16</v>
      </c>
      <c r="I212" s="3" t="s">
        <v>820</v>
      </c>
    </row>
    <row r="213" spans="1:9">
      <c r="A213" s="3" t="s">
        <v>9</v>
      </c>
      <c r="B213" s="3" t="s">
        <v>821</v>
      </c>
      <c r="C213" s="3" t="s">
        <v>320</v>
      </c>
      <c r="D213" s="3" t="s">
        <v>313</v>
      </c>
      <c r="E213" s="3" t="s">
        <v>822</v>
      </c>
      <c r="F213" s="3" t="s">
        <v>38</v>
      </c>
      <c r="G213" s="3" t="s">
        <v>823</v>
      </c>
      <c r="H213" s="3" t="s">
        <v>16</v>
      </c>
      <c r="I213" s="3" t="s">
        <v>824</v>
      </c>
    </row>
    <row r="214" spans="1:9">
      <c r="A214" s="3" t="s">
        <v>9</v>
      </c>
      <c r="B214" s="3" t="s">
        <v>408</v>
      </c>
      <c r="C214" s="3" t="s">
        <v>320</v>
      </c>
      <c r="D214" s="3" t="s">
        <v>659</v>
      </c>
      <c r="E214" s="3" t="s">
        <v>718</v>
      </c>
      <c r="F214" s="3" t="s">
        <v>38</v>
      </c>
      <c r="G214" s="3" t="s">
        <v>433</v>
      </c>
      <c r="H214" s="3" t="s">
        <v>16</v>
      </c>
      <c r="I214" s="3" t="s">
        <v>825</v>
      </c>
    </row>
    <row r="215" spans="1:9">
      <c r="A215" s="3" t="s">
        <v>9</v>
      </c>
      <c r="B215" s="3" t="s">
        <v>826</v>
      </c>
      <c r="C215" s="3" t="s">
        <v>320</v>
      </c>
      <c r="D215" s="3" t="s">
        <v>827</v>
      </c>
      <c r="E215" s="3" t="s">
        <v>828</v>
      </c>
      <c r="F215" s="3" t="s">
        <v>38</v>
      </c>
      <c r="G215" s="3" t="s">
        <v>829</v>
      </c>
      <c r="H215" s="3" t="s">
        <v>16</v>
      </c>
      <c r="I215" s="3" t="s">
        <v>830</v>
      </c>
    </row>
    <row r="216" spans="1:9">
      <c r="A216" s="3" t="s">
        <v>9</v>
      </c>
      <c r="B216" s="3" t="s">
        <v>831</v>
      </c>
      <c r="C216" s="3" t="s">
        <v>320</v>
      </c>
      <c r="D216" s="3" t="s">
        <v>832</v>
      </c>
      <c r="E216" s="3" t="s">
        <v>833</v>
      </c>
      <c r="F216" s="3" t="s">
        <v>38</v>
      </c>
      <c r="G216" s="3" t="s">
        <v>834</v>
      </c>
      <c r="H216" s="3" t="s">
        <v>16</v>
      </c>
      <c r="I216" s="3" t="s">
        <v>835</v>
      </c>
    </row>
    <row r="217" spans="1:9">
      <c r="A217" s="3" t="s">
        <v>9</v>
      </c>
      <c r="B217" s="3" t="s">
        <v>844</v>
      </c>
      <c r="C217" s="3" t="s">
        <v>320</v>
      </c>
      <c r="D217" s="3" t="s">
        <v>845</v>
      </c>
      <c r="E217" s="3" t="s">
        <v>846</v>
      </c>
      <c r="F217" s="3" t="s">
        <v>38</v>
      </c>
      <c r="G217" s="3" t="s">
        <v>472</v>
      </c>
      <c r="H217" s="3" t="s">
        <v>16</v>
      </c>
      <c r="I217" s="3" t="s">
        <v>847</v>
      </c>
    </row>
    <row r="218" spans="1:9">
      <c r="A218" s="3" t="s">
        <v>9</v>
      </c>
      <c r="B218" s="3" t="s">
        <v>844</v>
      </c>
      <c r="C218" s="3" t="s">
        <v>320</v>
      </c>
      <c r="D218" s="3" t="s">
        <v>91</v>
      </c>
      <c r="E218" s="3" t="s">
        <v>848</v>
      </c>
      <c r="F218" s="3" t="s">
        <v>38</v>
      </c>
      <c r="G218" s="3" t="s">
        <v>849</v>
      </c>
      <c r="H218" s="3" t="s">
        <v>16</v>
      </c>
      <c r="I218" s="3" t="s">
        <v>850</v>
      </c>
    </row>
    <row r="219" spans="1:9">
      <c r="A219" s="3" t="s">
        <v>9</v>
      </c>
      <c r="B219" s="3" t="s">
        <v>851</v>
      </c>
      <c r="C219" s="3" t="s">
        <v>320</v>
      </c>
      <c r="D219" s="3" t="s">
        <v>852</v>
      </c>
      <c r="E219" s="3" t="s">
        <v>853</v>
      </c>
      <c r="F219" s="3" t="s">
        <v>38</v>
      </c>
      <c r="G219" s="3" t="s">
        <v>854</v>
      </c>
      <c r="H219" s="3" t="s">
        <v>16</v>
      </c>
      <c r="I219" s="3" t="s">
        <v>855</v>
      </c>
    </row>
    <row r="220" spans="1:9">
      <c r="A220" s="3" t="s">
        <v>9</v>
      </c>
      <c r="B220" s="3" t="s">
        <v>856</v>
      </c>
      <c r="C220" s="3" t="s">
        <v>320</v>
      </c>
      <c r="D220" s="3" t="s">
        <v>857</v>
      </c>
      <c r="E220" s="3" t="s">
        <v>858</v>
      </c>
      <c r="F220" s="3" t="s">
        <v>14</v>
      </c>
      <c r="G220" s="3" t="s">
        <v>859</v>
      </c>
      <c r="H220" s="3" t="s">
        <v>16</v>
      </c>
      <c r="I220" s="3" t="s">
        <v>860</v>
      </c>
    </row>
    <row r="221" spans="1:9">
      <c r="A221" s="3" t="s">
        <v>9</v>
      </c>
      <c r="B221" s="3" t="s">
        <v>861</v>
      </c>
      <c r="C221" s="3" t="s">
        <v>320</v>
      </c>
      <c r="D221" s="3" t="s">
        <v>862</v>
      </c>
      <c r="E221" s="3" t="s">
        <v>863</v>
      </c>
      <c r="F221" s="3" t="s">
        <v>38</v>
      </c>
      <c r="G221" s="3" t="s">
        <v>476</v>
      </c>
      <c r="H221" s="3" t="s">
        <v>16</v>
      </c>
      <c r="I221" s="3" t="s">
        <v>864</v>
      </c>
    </row>
    <row r="222" spans="1:9">
      <c r="A222" s="3" t="s">
        <v>9</v>
      </c>
      <c r="B222" s="3" t="s">
        <v>865</v>
      </c>
      <c r="C222" s="3" t="s">
        <v>320</v>
      </c>
      <c r="D222" s="3" t="s">
        <v>732</v>
      </c>
      <c r="E222" s="3" t="s">
        <v>866</v>
      </c>
      <c r="F222" s="3" t="s">
        <v>38</v>
      </c>
      <c r="G222" s="3" t="s">
        <v>867</v>
      </c>
      <c r="H222" s="3" t="s">
        <v>16</v>
      </c>
      <c r="I222" s="3" t="s">
        <v>868</v>
      </c>
    </row>
    <row r="223" spans="1:9">
      <c r="A223" s="3" t="s">
        <v>9</v>
      </c>
      <c r="B223" s="3" t="s">
        <v>869</v>
      </c>
      <c r="C223" s="3" t="s">
        <v>320</v>
      </c>
      <c r="D223" s="3" t="s">
        <v>358</v>
      </c>
      <c r="E223" s="3" t="s">
        <v>870</v>
      </c>
      <c r="F223" s="3" t="s">
        <v>38</v>
      </c>
      <c r="G223" s="3" t="s">
        <v>871</v>
      </c>
      <c r="H223" s="3" t="s">
        <v>16</v>
      </c>
      <c r="I223" s="3" t="s">
        <v>872</v>
      </c>
    </row>
    <row r="224" spans="1:9">
      <c r="A224" s="3" t="s">
        <v>9</v>
      </c>
      <c r="B224" s="3" t="s">
        <v>869</v>
      </c>
      <c r="C224" s="3" t="s">
        <v>320</v>
      </c>
      <c r="D224" s="3" t="s">
        <v>165</v>
      </c>
      <c r="E224" s="3" t="s">
        <v>870</v>
      </c>
      <c r="F224" s="3" t="s">
        <v>38</v>
      </c>
      <c r="G224" s="3" t="s">
        <v>506</v>
      </c>
      <c r="H224" s="3" t="s">
        <v>16</v>
      </c>
      <c r="I224" s="3" t="s">
        <v>873</v>
      </c>
    </row>
    <row r="225" spans="1:9">
      <c r="A225" s="3" t="s">
        <v>9</v>
      </c>
      <c r="B225" s="3" t="s">
        <v>874</v>
      </c>
      <c r="C225" s="3" t="s">
        <v>320</v>
      </c>
      <c r="D225" s="3" t="s">
        <v>553</v>
      </c>
      <c r="E225" s="3" t="s">
        <v>875</v>
      </c>
      <c r="F225" s="3" t="s">
        <v>38</v>
      </c>
      <c r="G225" s="3"/>
      <c r="H225" s="3" t="s">
        <v>16</v>
      </c>
      <c r="I225" s="3" t="s">
        <v>876</v>
      </c>
    </row>
    <row r="226" spans="1:9">
      <c r="A226" s="3" t="s">
        <v>9</v>
      </c>
      <c r="B226" s="3" t="s">
        <v>874</v>
      </c>
      <c r="C226" s="3" t="s">
        <v>320</v>
      </c>
      <c r="D226" s="3" t="s">
        <v>328</v>
      </c>
      <c r="E226" s="3" t="s">
        <v>877</v>
      </c>
      <c r="F226" s="3" t="s">
        <v>38</v>
      </c>
      <c r="G226" s="3"/>
      <c r="H226" s="3" t="s">
        <v>16</v>
      </c>
      <c r="I226" s="3" t="s">
        <v>878</v>
      </c>
    </row>
    <row r="227" spans="1:9">
      <c r="A227" s="3" t="s">
        <v>9</v>
      </c>
      <c r="B227" s="3" t="s">
        <v>874</v>
      </c>
      <c r="C227" s="3" t="s">
        <v>320</v>
      </c>
      <c r="D227" s="3" t="s">
        <v>879</v>
      </c>
      <c r="E227" s="3" t="s">
        <v>880</v>
      </c>
      <c r="F227" s="3" t="s">
        <v>38</v>
      </c>
      <c r="G227" s="3"/>
      <c r="H227" s="3" t="s">
        <v>16</v>
      </c>
      <c r="I227" s="3" t="s">
        <v>881</v>
      </c>
    </row>
    <row r="228" spans="1:9">
      <c r="A228" s="3" t="s">
        <v>9</v>
      </c>
      <c r="B228" s="3" t="s">
        <v>851</v>
      </c>
      <c r="C228" s="3" t="s">
        <v>320</v>
      </c>
      <c r="D228" s="3" t="s">
        <v>882</v>
      </c>
      <c r="E228" s="3" t="s">
        <v>883</v>
      </c>
      <c r="F228" s="3" t="s">
        <v>38</v>
      </c>
      <c r="G228" s="3" t="s">
        <v>597</v>
      </c>
      <c r="H228" s="3" t="s">
        <v>16</v>
      </c>
      <c r="I228" s="3" t="s">
        <v>884</v>
      </c>
    </row>
    <row r="229" spans="1:9">
      <c r="A229" s="3" t="s">
        <v>9</v>
      </c>
      <c r="B229" s="3" t="s">
        <v>851</v>
      </c>
      <c r="C229" s="3" t="s">
        <v>320</v>
      </c>
      <c r="D229" s="3" t="s">
        <v>885</v>
      </c>
      <c r="E229" s="3" t="s">
        <v>886</v>
      </c>
      <c r="F229" s="3" t="s">
        <v>38</v>
      </c>
      <c r="G229" s="3" t="s">
        <v>887</v>
      </c>
      <c r="H229" s="3" t="s">
        <v>16</v>
      </c>
      <c r="I229" s="3" t="s">
        <v>888</v>
      </c>
    </row>
    <row r="230" spans="1:9">
      <c r="A230" s="3" t="s">
        <v>9</v>
      </c>
      <c r="B230" s="3" t="s">
        <v>899</v>
      </c>
      <c r="C230" s="3" t="s">
        <v>900</v>
      </c>
      <c r="D230" s="3" t="s">
        <v>250</v>
      </c>
      <c r="E230" s="3" t="s">
        <v>901</v>
      </c>
      <c r="F230" s="3" t="s">
        <v>38</v>
      </c>
      <c r="G230" s="3"/>
      <c r="H230" s="3" t="s">
        <v>323</v>
      </c>
      <c r="I230" s="3" t="s">
        <v>902</v>
      </c>
    </row>
    <row r="231" spans="1:9">
      <c r="A231" s="3" t="s">
        <v>9</v>
      </c>
      <c r="B231" s="3" t="s">
        <v>903</v>
      </c>
      <c r="C231" s="3" t="s">
        <v>900</v>
      </c>
      <c r="D231" s="3" t="s">
        <v>30</v>
      </c>
      <c r="E231" s="3" t="s">
        <v>904</v>
      </c>
      <c r="F231" s="3" t="s">
        <v>38</v>
      </c>
      <c r="G231" s="3"/>
      <c r="H231" s="3" t="s">
        <v>323</v>
      </c>
      <c r="I231" s="3" t="s">
        <v>905</v>
      </c>
    </row>
    <row r="232" spans="1:9">
      <c r="A232" s="3" t="s">
        <v>9</v>
      </c>
      <c r="B232" s="3" t="s">
        <v>903</v>
      </c>
      <c r="C232" s="3" t="s">
        <v>900</v>
      </c>
      <c r="D232" s="3" t="s">
        <v>906</v>
      </c>
      <c r="E232" s="3" t="s">
        <v>907</v>
      </c>
      <c r="F232" s="3" t="s">
        <v>38</v>
      </c>
      <c r="G232" s="3"/>
      <c r="H232" s="3" t="s">
        <v>323</v>
      </c>
      <c r="I232" s="3" t="s">
        <v>908</v>
      </c>
    </row>
    <row r="233" spans="1:9">
      <c r="A233" s="3" t="s">
        <v>9</v>
      </c>
      <c r="B233" s="3" t="s">
        <v>948</v>
      </c>
      <c r="C233" s="3" t="s">
        <v>900</v>
      </c>
      <c r="D233" s="3" t="s">
        <v>447</v>
      </c>
      <c r="E233" s="3" t="s">
        <v>949</v>
      </c>
      <c r="F233" s="3" t="s">
        <v>38</v>
      </c>
      <c r="G233" s="3" t="s">
        <v>385</v>
      </c>
      <c r="H233" s="3" t="s">
        <v>323</v>
      </c>
      <c r="I233" s="3" t="s">
        <v>950</v>
      </c>
    </row>
    <row r="234" spans="1:9">
      <c r="A234" s="3" t="s">
        <v>9</v>
      </c>
      <c r="B234" s="3" t="s">
        <v>1256</v>
      </c>
      <c r="C234" s="3" t="s">
        <v>900</v>
      </c>
      <c r="D234" s="3" t="s">
        <v>250</v>
      </c>
      <c r="E234" s="3" t="s">
        <v>1257</v>
      </c>
      <c r="F234" s="3" t="s">
        <v>38</v>
      </c>
      <c r="G234" s="3" t="s">
        <v>506</v>
      </c>
      <c r="H234" s="3" t="s">
        <v>323</v>
      </c>
      <c r="I234" s="3" t="s">
        <v>1258</v>
      </c>
    </row>
    <row r="235" spans="1:9">
      <c r="A235" s="3" t="s">
        <v>9</v>
      </c>
      <c r="B235" s="3" t="s">
        <v>899</v>
      </c>
      <c r="C235" s="3" t="s">
        <v>900</v>
      </c>
      <c r="D235" s="3" t="s">
        <v>1272</v>
      </c>
      <c r="E235" s="3" t="s">
        <v>1273</v>
      </c>
      <c r="F235" s="3" t="s">
        <v>38</v>
      </c>
      <c r="G235" s="3" t="s">
        <v>1274</v>
      </c>
      <c r="H235" s="3" t="s">
        <v>323</v>
      </c>
      <c r="I235" s="3" t="s">
        <v>1275</v>
      </c>
    </row>
    <row r="236" spans="1:9">
      <c r="A236" s="3" t="s">
        <v>9</v>
      </c>
      <c r="B236" s="3" t="s">
        <v>1280</v>
      </c>
      <c r="C236" s="3" t="s">
        <v>900</v>
      </c>
      <c r="D236" s="3" t="s">
        <v>1281</v>
      </c>
      <c r="E236" s="3" t="s">
        <v>1282</v>
      </c>
      <c r="F236" s="3" t="s">
        <v>217</v>
      </c>
      <c r="G236" s="3" t="s">
        <v>1283</v>
      </c>
      <c r="H236" s="3" t="s">
        <v>323</v>
      </c>
      <c r="I236" s="3" t="s">
        <v>1284</v>
      </c>
    </row>
    <row r="237" spans="1:9">
      <c r="A237" s="3" t="s">
        <v>9</v>
      </c>
      <c r="B237" s="3" t="s">
        <v>1256</v>
      </c>
      <c r="C237" s="3" t="s">
        <v>900</v>
      </c>
      <c r="D237" s="3" t="s">
        <v>535</v>
      </c>
      <c r="E237" s="3" t="s">
        <v>1309</v>
      </c>
      <c r="F237" s="3" t="s">
        <v>38</v>
      </c>
      <c r="G237" s="3" t="s">
        <v>433</v>
      </c>
      <c r="H237" s="3" t="s">
        <v>16</v>
      </c>
      <c r="I237" s="3" t="s">
        <v>1310</v>
      </c>
    </row>
    <row r="238" spans="1:9">
      <c r="A238" s="3" t="s">
        <v>9</v>
      </c>
      <c r="B238" s="3" t="s">
        <v>903</v>
      </c>
      <c r="C238" s="3" t="s">
        <v>900</v>
      </c>
      <c r="D238" s="3" t="s">
        <v>1311</v>
      </c>
      <c r="E238" s="3" t="s">
        <v>1312</v>
      </c>
      <c r="F238" s="3" t="s">
        <v>38</v>
      </c>
      <c r="G238" s="3" t="s">
        <v>1313</v>
      </c>
      <c r="H238" s="3" t="s">
        <v>16</v>
      </c>
      <c r="I238" s="3" t="s">
        <v>1314</v>
      </c>
    </row>
    <row r="239" spans="1:9">
      <c r="A239" s="3" t="s">
        <v>9</v>
      </c>
      <c r="B239" s="3" t="s">
        <v>1280</v>
      </c>
      <c r="C239" s="3" t="s">
        <v>900</v>
      </c>
      <c r="D239" s="3" t="s">
        <v>1315</v>
      </c>
      <c r="E239" s="3" t="s">
        <v>1316</v>
      </c>
      <c r="F239" s="3" t="s">
        <v>38</v>
      </c>
      <c r="G239" s="3" t="s">
        <v>1317</v>
      </c>
      <c r="H239" s="3" t="s">
        <v>16</v>
      </c>
      <c r="I239" s="3" t="s">
        <v>1318</v>
      </c>
    </row>
    <row r="240" spans="1:9">
      <c r="A240" s="3" t="s">
        <v>9</v>
      </c>
      <c r="B240" s="3" t="s">
        <v>1280</v>
      </c>
      <c r="C240" s="3" t="s">
        <v>900</v>
      </c>
      <c r="D240" s="3" t="s">
        <v>1319</v>
      </c>
      <c r="E240" s="3" t="s">
        <v>1320</v>
      </c>
      <c r="F240" s="3" t="s">
        <v>38</v>
      </c>
      <c r="G240" s="3" t="s">
        <v>304</v>
      </c>
      <c r="H240" s="3" t="s">
        <v>16</v>
      </c>
      <c r="I240" s="3" t="s">
        <v>1321</v>
      </c>
    </row>
    <row r="241" spans="1:9">
      <c r="A241" s="3" t="s">
        <v>9</v>
      </c>
      <c r="B241" s="3" t="s">
        <v>1642</v>
      </c>
      <c r="C241" s="3" t="s">
        <v>1588</v>
      </c>
      <c r="D241" s="3" t="s">
        <v>1175</v>
      </c>
      <c r="E241" s="3" t="s">
        <v>1643</v>
      </c>
      <c r="F241" s="3" t="s">
        <v>38</v>
      </c>
      <c r="G241" s="3" t="s">
        <v>1644</v>
      </c>
      <c r="H241" s="3" t="s">
        <v>323</v>
      </c>
      <c r="I241" s="3" t="s">
        <v>1645</v>
      </c>
    </row>
    <row r="242" spans="1:9">
      <c r="A242" s="3" t="s">
        <v>9</v>
      </c>
      <c r="B242" s="3" t="s">
        <v>1642</v>
      </c>
      <c r="C242" s="3" t="s">
        <v>1588</v>
      </c>
      <c r="D242" s="3" t="s">
        <v>1826</v>
      </c>
      <c r="E242" s="3" t="s">
        <v>1827</v>
      </c>
      <c r="F242" s="3" t="s">
        <v>38</v>
      </c>
      <c r="G242" s="3" t="s">
        <v>1185</v>
      </c>
      <c r="H242" s="3" t="s">
        <v>323</v>
      </c>
      <c r="I242" s="3" t="s">
        <v>1828</v>
      </c>
    </row>
    <row r="243" spans="1:9">
      <c r="A243" s="3" t="s">
        <v>9</v>
      </c>
      <c r="B243" s="3" t="s">
        <v>1829</v>
      </c>
      <c r="C243" s="3" t="s">
        <v>1588</v>
      </c>
      <c r="D243" s="3" t="s">
        <v>1830</v>
      </c>
      <c r="E243" s="3" t="s">
        <v>1831</v>
      </c>
      <c r="F243" s="3" t="s">
        <v>225</v>
      </c>
      <c r="G243" s="3" t="s">
        <v>656</v>
      </c>
      <c r="H243" s="3" t="s">
        <v>16</v>
      </c>
      <c r="I243" s="3" t="s">
        <v>1832</v>
      </c>
    </row>
    <row r="244" spans="1:9">
      <c r="A244" s="3" t="s">
        <v>9</v>
      </c>
      <c r="B244" s="3" t="s">
        <v>1829</v>
      </c>
      <c r="C244" s="3" t="s">
        <v>1588</v>
      </c>
      <c r="D244" s="3" t="s">
        <v>1276</v>
      </c>
      <c r="E244" s="3" t="s">
        <v>956</v>
      </c>
      <c r="F244" s="3" t="s">
        <v>225</v>
      </c>
      <c r="G244" s="3" t="s">
        <v>1967</v>
      </c>
      <c r="H244" s="3" t="s">
        <v>16</v>
      </c>
      <c r="I244" s="3" t="s">
        <v>1968</v>
      </c>
    </row>
    <row r="245" spans="1:9">
      <c r="A245" s="3" t="s">
        <v>9</v>
      </c>
      <c r="B245" s="3" t="s">
        <v>2015</v>
      </c>
      <c r="C245" s="3" t="s">
        <v>1588</v>
      </c>
      <c r="D245" s="3" t="s">
        <v>45</v>
      </c>
      <c r="E245" s="3" t="s">
        <v>2016</v>
      </c>
      <c r="F245" s="3" t="s">
        <v>14</v>
      </c>
      <c r="G245" s="3" t="s">
        <v>2017</v>
      </c>
      <c r="H245" s="3" t="s">
        <v>16</v>
      </c>
      <c r="I245" s="3" t="s">
        <v>2018</v>
      </c>
    </row>
    <row r="246" spans="1:9">
      <c r="A246" s="3" t="s">
        <v>9</v>
      </c>
      <c r="B246" s="3" t="s">
        <v>1829</v>
      </c>
      <c r="C246" s="3" t="s">
        <v>1588</v>
      </c>
      <c r="D246" s="3" t="s">
        <v>605</v>
      </c>
      <c r="E246" s="3" t="s">
        <v>2019</v>
      </c>
      <c r="F246" s="3" t="s">
        <v>225</v>
      </c>
      <c r="G246" s="3" t="s">
        <v>823</v>
      </c>
      <c r="H246" s="3" t="s">
        <v>16</v>
      </c>
      <c r="I246" s="3" t="s">
        <v>2020</v>
      </c>
    </row>
    <row r="247" spans="1:9">
      <c r="A247" s="3" t="s">
        <v>9</v>
      </c>
      <c r="B247" s="3" t="s">
        <v>2021</v>
      </c>
      <c r="C247" s="3" t="s">
        <v>1588</v>
      </c>
      <c r="D247" s="3" t="s">
        <v>605</v>
      </c>
      <c r="E247" s="3" t="s">
        <v>1249</v>
      </c>
      <c r="F247" s="3" t="s">
        <v>38</v>
      </c>
      <c r="G247" s="3" t="s">
        <v>806</v>
      </c>
      <c r="H247" s="3" t="s">
        <v>16</v>
      </c>
      <c r="I247" s="3" t="s">
        <v>2022</v>
      </c>
    </row>
    <row r="248" spans="1:9">
      <c r="A248" s="3" t="s">
        <v>9</v>
      </c>
      <c r="B248" s="3" t="s">
        <v>2023</v>
      </c>
      <c r="C248" s="3" t="s">
        <v>1588</v>
      </c>
      <c r="D248" s="3" t="s">
        <v>1634</v>
      </c>
      <c r="E248" s="3" t="s">
        <v>1410</v>
      </c>
      <c r="F248" s="3" t="s">
        <v>14</v>
      </c>
      <c r="G248" s="3" t="s">
        <v>2024</v>
      </c>
      <c r="H248" s="3" t="s">
        <v>16</v>
      </c>
      <c r="I248" s="3" t="s">
        <v>2025</v>
      </c>
    </row>
    <row r="249" spans="1:9">
      <c r="A249" s="3" t="s">
        <v>9</v>
      </c>
      <c r="B249" s="3" t="s">
        <v>2023</v>
      </c>
      <c r="C249" s="3" t="s">
        <v>1588</v>
      </c>
      <c r="D249" s="3" t="s">
        <v>2133</v>
      </c>
      <c r="E249" s="3" t="s">
        <v>2134</v>
      </c>
      <c r="F249" s="3" t="s">
        <v>225</v>
      </c>
      <c r="G249" s="3" t="s">
        <v>2024</v>
      </c>
      <c r="H249" s="3" t="s">
        <v>16</v>
      </c>
      <c r="I249" s="3" t="s">
        <v>2135</v>
      </c>
    </row>
    <row r="250" spans="1:9">
      <c r="A250" s="3" t="s">
        <v>9</v>
      </c>
      <c r="B250" s="3" t="s">
        <v>658</v>
      </c>
      <c r="C250" s="3" t="s">
        <v>1588</v>
      </c>
      <c r="D250" s="3" t="s">
        <v>2142</v>
      </c>
      <c r="E250" s="3" t="s">
        <v>283</v>
      </c>
      <c r="F250" s="3" t="s">
        <v>217</v>
      </c>
      <c r="G250" s="3" t="s">
        <v>2143</v>
      </c>
      <c r="H250" s="3" t="s">
        <v>16</v>
      </c>
      <c r="I250" s="3" t="s">
        <v>2144</v>
      </c>
    </row>
    <row r="251" spans="1:9">
      <c r="A251" s="3" t="s">
        <v>9</v>
      </c>
      <c r="B251" s="3" t="s">
        <v>2160</v>
      </c>
      <c r="C251" s="3" t="s">
        <v>2157</v>
      </c>
      <c r="D251" s="3" t="s">
        <v>358</v>
      </c>
      <c r="E251" s="3" t="s">
        <v>2161</v>
      </c>
      <c r="F251" s="3" t="s">
        <v>217</v>
      </c>
      <c r="G251" s="3"/>
      <c r="H251" s="3" t="s">
        <v>323</v>
      </c>
      <c r="I251" s="3" t="s">
        <v>2162</v>
      </c>
    </row>
    <row r="252" spans="1:9">
      <c r="A252" s="3" t="s">
        <v>9</v>
      </c>
      <c r="B252" s="3" t="s">
        <v>2170</v>
      </c>
      <c r="C252" s="3" t="s">
        <v>2157</v>
      </c>
      <c r="D252" s="3" t="s">
        <v>125</v>
      </c>
      <c r="E252" s="3" t="s">
        <v>2171</v>
      </c>
      <c r="F252" s="3" t="s">
        <v>38</v>
      </c>
      <c r="G252" s="3"/>
      <c r="H252" s="3" t="s">
        <v>323</v>
      </c>
      <c r="I252" s="3" t="s">
        <v>2172</v>
      </c>
    </row>
    <row r="253" spans="1:9">
      <c r="A253" s="3" t="s">
        <v>9</v>
      </c>
      <c r="B253" s="3" t="s">
        <v>2185</v>
      </c>
      <c r="C253" s="3" t="s">
        <v>2157</v>
      </c>
      <c r="D253" s="3" t="s">
        <v>328</v>
      </c>
      <c r="E253" s="3" t="s">
        <v>2186</v>
      </c>
      <c r="F253" s="3" t="s">
        <v>38</v>
      </c>
      <c r="G253" s="3" t="s">
        <v>402</v>
      </c>
      <c r="H253" s="3" t="s">
        <v>323</v>
      </c>
      <c r="I253" s="3" t="s">
        <v>2187</v>
      </c>
    </row>
    <row r="254" spans="1:9">
      <c r="A254" s="3" t="s">
        <v>9</v>
      </c>
      <c r="B254" s="3" t="s">
        <v>2192</v>
      </c>
      <c r="C254" s="3" t="s">
        <v>2157</v>
      </c>
      <c r="D254" s="3" t="s">
        <v>75</v>
      </c>
      <c r="E254" s="3" t="s">
        <v>655</v>
      </c>
      <c r="F254" s="3" t="s">
        <v>217</v>
      </c>
      <c r="G254" s="3" t="s">
        <v>2193</v>
      </c>
      <c r="H254" s="3" t="s">
        <v>323</v>
      </c>
      <c r="I254" s="3" t="s">
        <v>2194</v>
      </c>
    </row>
    <row r="255" spans="1:9">
      <c r="A255" s="3" t="s">
        <v>9</v>
      </c>
      <c r="B255" s="3" t="s">
        <v>2185</v>
      </c>
      <c r="C255" s="3" t="s">
        <v>2157</v>
      </c>
      <c r="D255" s="3" t="s">
        <v>2195</v>
      </c>
      <c r="E255" s="3" t="s">
        <v>2196</v>
      </c>
      <c r="F255" s="3" t="s">
        <v>38</v>
      </c>
      <c r="G255" s="3" t="s">
        <v>433</v>
      </c>
      <c r="H255" s="3" t="s">
        <v>323</v>
      </c>
      <c r="I255" s="3" t="s">
        <v>2197</v>
      </c>
    </row>
    <row r="256" spans="1:9">
      <c r="A256" s="3" t="s">
        <v>9</v>
      </c>
      <c r="B256" s="3" t="s">
        <v>2208</v>
      </c>
      <c r="C256" s="3" t="s">
        <v>2157</v>
      </c>
      <c r="D256" s="3" t="s">
        <v>1479</v>
      </c>
      <c r="E256" s="3" t="s">
        <v>2209</v>
      </c>
      <c r="F256" s="3" t="s">
        <v>217</v>
      </c>
      <c r="G256" s="3" t="s">
        <v>1613</v>
      </c>
      <c r="H256" s="3" t="s">
        <v>16</v>
      </c>
      <c r="I256" s="3" t="s">
        <v>2210</v>
      </c>
    </row>
    <row r="257" spans="1:9">
      <c r="A257" s="3" t="s">
        <v>9</v>
      </c>
      <c r="B257" s="3" t="s">
        <v>2322</v>
      </c>
      <c r="C257" s="3" t="s">
        <v>2157</v>
      </c>
      <c r="D257" s="3" t="s">
        <v>2323</v>
      </c>
      <c r="E257" s="3" t="s">
        <v>2324</v>
      </c>
      <c r="F257" s="3" t="s">
        <v>38</v>
      </c>
      <c r="G257" s="3" t="s">
        <v>472</v>
      </c>
      <c r="H257" s="3" t="s">
        <v>16</v>
      </c>
      <c r="I257" s="3" t="s">
        <v>2325</v>
      </c>
    </row>
    <row r="258" spans="1:9">
      <c r="A258" s="3" t="s">
        <v>9</v>
      </c>
      <c r="B258" s="3" t="s">
        <v>2367</v>
      </c>
      <c r="C258" s="3" t="s">
        <v>2157</v>
      </c>
      <c r="D258" s="3" t="s">
        <v>2368</v>
      </c>
      <c r="E258" s="3" t="s">
        <v>655</v>
      </c>
      <c r="F258" s="3" t="s">
        <v>217</v>
      </c>
      <c r="G258" s="3" t="s">
        <v>2369</v>
      </c>
      <c r="H258" s="3" t="s">
        <v>16</v>
      </c>
      <c r="I258" s="3" t="s">
        <v>2370</v>
      </c>
    </row>
    <row r="259" spans="1:9">
      <c r="A259" s="3" t="s">
        <v>9</v>
      </c>
      <c r="B259" s="3" t="s">
        <v>2371</v>
      </c>
      <c r="C259" s="3" t="s">
        <v>2157</v>
      </c>
      <c r="D259" s="3" t="s">
        <v>36</v>
      </c>
      <c r="E259" s="3" t="s">
        <v>2372</v>
      </c>
      <c r="F259" s="3" t="s">
        <v>217</v>
      </c>
      <c r="G259" s="3" t="s">
        <v>2074</v>
      </c>
      <c r="H259" s="3" t="s">
        <v>16</v>
      </c>
      <c r="I259" s="3" t="s">
        <v>2373</v>
      </c>
    </row>
    <row r="260" spans="1:9">
      <c r="A260" s="3" t="s">
        <v>9</v>
      </c>
      <c r="B260" s="3" t="s">
        <v>2322</v>
      </c>
      <c r="C260" s="3" t="s">
        <v>2157</v>
      </c>
      <c r="D260" s="3" t="s">
        <v>165</v>
      </c>
      <c r="E260" s="3" t="s">
        <v>2378</v>
      </c>
      <c r="F260" s="3" t="s">
        <v>38</v>
      </c>
      <c r="G260" s="3" t="s">
        <v>2379</v>
      </c>
      <c r="H260" s="3" t="s">
        <v>16</v>
      </c>
      <c r="I260" s="3" t="s">
        <v>2380</v>
      </c>
    </row>
    <row r="261" spans="1:9">
      <c r="A261" s="3" t="s">
        <v>9</v>
      </c>
      <c r="B261" s="3" t="s">
        <v>2322</v>
      </c>
      <c r="C261" s="3" t="s">
        <v>2157</v>
      </c>
      <c r="D261" s="3" t="s">
        <v>2381</v>
      </c>
      <c r="E261" s="3" t="s">
        <v>2382</v>
      </c>
      <c r="F261" s="3" t="s">
        <v>38</v>
      </c>
      <c r="G261" s="3" t="s">
        <v>2383</v>
      </c>
      <c r="H261" s="3" t="s">
        <v>16</v>
      </c>
      <c r="I261" s="3" t="s">
        <v>2384</v>
      </c>
    </row>
    <row r="262" spans="1:9">
      <c r="A262" s="3" t="s">
        <v>9</v>
      </c>
      <c r="B262" s="3" t="s">
        <v>2208</v>
      </c>
      <c r="C262" s="3" t="s">
        <v>2157</v>
      </c>
      <c r="D262" s="3" t="s">
        <v>282</v>
      </c>
      <c r="E262" s="3" t="s">
        <v>2385</v>
      </c>
      <c r="F262" s="3" t="s">
        <v>217</v>
      </c>
      <c r="G262" s="3" t="s">
        <v>2386</v>
      </c>
      <c r="H262" s="3" t="s">
        <v>16</v>
      </c>
      <c r="I262" s="3" t="s">
        <v>2387</v>
      </c>
    </row>
    <row r="263" spans="1:9">
      <c r="A263" s="3" t="s">
        <v>9</v>
      </c>
      <c r="B263" s="3" t="s">
        <v>2208</v>
      </c>
      <c r="C263" s="3" t="s">
        <v>2157</v>
      </c>
      <c r="D263" s="3" t="s">
        <v>2388</v>
      </c>
      <c r="E263" s="3" t="s">
        <v>2389</v>
      </c>
      <c r="F263" s="3" t="s">
        <v>217</v>
      </c>
      <c r="G263" s="3" t="s">
        <v>2390</v>
      </c>
      <c r="H263" s="3" t="s">
        <v>16</v>
      </c>
      <c r="I263" s="3" t="s">
        <v>2391</v>
      </c>
    </row>
    <row r="264" spans="1:9">
      <c r="A264" s="3" t="s">
        <v>9</v>
      </c>
      <c r="B264" s="3" t="s">
        <v>2395</v>
      </c>
      <c r="C264" s="3" t="s">
        <v>2157</v>
      </c>
      <c r="D264" s="3" t="s">
        <v>116</v>
      </c>
      <c r="E264" s="3" t="s">
        <v>2396</v>
      </c>
      <c r="F264" s="3" t="s">
        <v>217</v>
      </c>
      <c r="G264" s="3"/>
      <c r="H264" s="3" t="s">
        <v>16</v>
      </c>
      <c r="I264" s="3" t="s">
        <v>2397</v>
      </c>
    </row>
    <row r="265" spans="1:9">
      <c r="A265" s="3" t="s">
        <v>9</v>
      </c>
      <c r="B265" s="3" t="s">
        <v>2367</v>
      </c>
      <c r="C265" s="3" t="s">
        <v>2157</v>
      </c>
      <c r="D265" s="3" t="s">
        <v>316</v>
      </c>
      <c r="E265" s="3" t="s">
        <v>2504</v>
      </c>
      <c r="F265" s="3" t="s">
        <v>217</v>
      </c>
      <c r="G265" s="3" t="s">
        <v>2505</v>
      </c>
      <c r="H265" s="3" t="s">
        <v>16</v>
      </c>
      <c r="I265" s="3" t="s">
        <v>2506</v>
      </c>
    </row>
    <row r="266" spans="1:9">
      <c r="A266" s="3" t="s">
        <v>9</v>
      </c>
      <c r="B266" s="3" t="s">
        <v>2367</v>
      </c>
      <c r="C266" s="3" t="s">
        <v>2157</v>
      </c>
      <c r="D266" s="3" t="s">
        <v>271</v>
      </c>
      <c r="E266" s="3" t="s">
        <v>2530</v>
      </c>
      <c r="F266" s="3" t="s">
        <v>217</v>
      </c>
      <c r="G266" s="3" t="s">
        <v>1415</v>
      </c>
      <c r="H266" s="3" t="s">
        <v>16</v>
      </c>
      <c r="I266" s="3" t="s">
        <v>2531</v>
      </c>
    </row>
    <row r="267" spans="1:9">
      <c r="A267" s="3" t="s">
        <v>9</v>
      </c>
      <c r="B267" s="3" t="s">
        <v>2367</v>
      </c>
      <c r="C267" s="3" t="s">
        <v>2157</v>
      </c>
      <c r="D267" s="3" t="s">
        <v>845</v>
      </c>
      <c r="E267" s="3" t="s">
        <v>2532</v>
      </c>
      <c r="F267" s="3" t="s">
        <v>217</v>
      </c>
      <c r="G267" s="3" t="s">
        <v>2533</v>
      </c>
      <c r="H267" s="3" t="s">
        <v>16</v>
      </c>
      <c r="I267" s="3" t="s">
        <v>2534</v>
      </c>
    </row>
    <row r="268" spans="1:9">
      <c r="A268" s="3" t="s">
        <v>9</v>
      </c>
      <c r="B268" s="3" t="s">
        <v>2208</v>
      </c>
      <c r="C268" s="3" t="s">
        <v>2157</v>
      </c>
      <c r="D268" s="3" t="s">
        <v>239</v>
      </c>
      <c r="E268" s="3" t="s">
        <v>2535</v>
      </c>
      <c r="F268" s="3" t="s">
        <v>38</v>
      </c>
      <c r="G268" s="3" t="s">
        <v>2536</v>
      </c>
      <c r="H268" s="3" t="s">
        <v>16</v>
      </c>
      <c r="I268" s="3" t="s">
        <v>2537</v>
      </c>
    </row>
    <row r="269" spans="1:9">
      <c r="A269" s="3" t="s">
        <v>9</v>
      </c>
      <c r="B269" s="3" t="s">
        <v>2546</v>
      </c>
      <c r="C269" s="3" t="s">
        <v>2547</v>
      </c>
      <c r="D269" s="3" t="s">
        <v>605</v>
      </c>
      <c r="E269" s="3" t="s">
        <v>2548</v>
      </c>
      <c r="F269" s="3" t="s">
        <v>38</v>
      </c>
      <c r="G269" s="3" t="s">
        <v>1181</v>
      </c>
      <c r="H269" s="3" t="s">
        <v>323</v>
      </c>
      <c r="I269" s="3" t="s">
        <v>2549</v>
      </c>
    </row>
    <row r="270" spans="1:9">
      <c r="A270" s="3" t="s">
        <v>9</v>
      </c>
      <c r="B270" s="3" t="s">
        <v>2546</v>
      </c>
      <c r="C270" s="3" t="s">
        <v>2547</v>
      </c>
      <c r="D270" s="3" t="s">
        <v>692</v>
      </c>
      <c r="E270" s="3" t="s">
        <v>2550</v>
      </c>
      <c r="F270" s="3" t="s">
        <v>38</v>
      </c>
      <c r="G270" s="3"/>
      <c r="H270" s="3" t="s">
        <v>323</v>
      </c>
      <c r="I270" s="3" t="s">
        <v>2551</v>
      </c>
    </row>
    <row r="271" spans="1:9">
      <c r="A271" s="3" t="s">
        <v>9</v>
      </c>
      <c r="B271" s="3" t="s">
        <v>2554</v>
      </c>
      <c r="C271" s="3" t="s">
        <v>2547</v>
      </c>
      <c r="D271" s="3" t="s">
        <v>2555</v>
      </c>
      <c r="E271" s="3" t="s">
        <v>2556</v>
      </c>
      <c r="F271" s="3" t="s">
        <v>38</v>
      </c>
      <c r="G271" s="3"/>
      <c r="H271" s="3" t="s">
        <v>323</v>
      </c>
      <c r="I271" s="3" t="s">
        <v>2557</v>
      </c>
    </row>
    <row r="272" spans="1:9">
      <c r="A272" s="3" t="s">
        <v>9</v>
      </c>
      <c r="B272" s="3" t="s">
        <v>2558</v>
      </c>
      <c r="C272" s="3" t="s">
        <v>2547</v>
      </c>
      <c r="D272" s="3" t="s">
        <v>83</v>
      </c>
      <c r="E272" s="3" t="s">
        <v>2559</v>
      </c>
      <c r="F272" s="3" t="s">
        <v>217</v>
      </c>
      <c r="G272" s="3" t="s">
        <v>472</v>
      </c>
      <c r="H272" s="3" t="s">
        <v>323</v>
      </c>
      <c r="I272" s="3" t="s">
        <v>2560</v>
      </c>
    </row>
    <row r="273" spans="1:9">
      <c r="A273" s="3" t="s">
        <v>9</v>
      </c>
      <c r="B273" s="3" t="s">
        <v>2561</v>
      </c>
      <c r="C273" s="3" t="s">
        <v>2547</v>
      </c>
      <c r="D273" s="3" t="s">
        <v>91</v>
      </c>
      <c r="E273" s="3" t="s">
        <v>2562</v>
      </c>
      <c r="F273" s="3" t="s">
        <v>38</v>
      </c>
      <c r="G273" s="3"/>
      <c r="H273" s="3" t="s">
        <v>323</v>
      </c>
      <c r="I273" s="3" t="s">
        <v>2563</v>
      </c>
    </row>
    <row r="274" spans="1:9">
      <c r="A274" s="3" t="s">
        <v>9</v>
      </c>
      <c r="B274" s="3" t="s">
        <v>2592</v>
      </c>
      <c r="C274" s="3" t="s">
        <v>2547</v>
      </c>
      <c r="D274" s="3" t="s">
        <v>2593</v>
      </c>
      <c r="E274" s="3" t="s">
        <v>846</v>
      </c>
      <c r="F274" s="3" t="s">
        <v>38</v>
      </c>
      <c r="G274" s="3" t="s">
        <v>2594</v>
      </c>
      <c r="H274" s="3" t="s">
        <v>323</v>
      </c>
      <c r="I274" s="3" t="s">
        <v>2595</v>
      </c>
    </row>
    <row r="275" spans="1:9">
      <c r="A275" s="3" t="s">
        <v>9</v>
      </c>
      <c r="B275" s="3" t="s">
        <v>2601</v>
      </c>
      <c r="C275" s="3" t="s">
        <v>2547</v>
      </c>
      <c r="D275" s="3" t="s">
        <v>282</v>
      </c>
      <c r="E275" s="3" t="s">
        <v>2602</v>
      </c>
      <c r="F275" s="3" t="s">
        <v>38</v>
      </c>
      <c r="G275" s="3" t="s">
        <v>602</v>
      </c>
      <c r="H275" s="3" t="s">
        <v>323</v>
      </c>
      <c r="I275" s="3" t="s">
        <v>2603</v>
      </c>
    </row>
    <row r="276" spans="1:9">
      <c r="A276" s="3" t="s">
        <v>9</v>
      </c>
      <c r="B276" s="3" t="s">
        <v>2558</v>
      </c>
      <c r="C276" s="3" t="s">
        <v>2547</v>
      </c>
      <c r="D276" s="3" t="s">
        <v>3035</v>
      </c>
      <c r="E276" s="3" t="s">
        <v>3121</v>
      </c>
      <c r="F276" s="3" t="s">
        <v>217</v>
      </c>
      <c r="G276" s="3" t="s">
        <v>422</v>
      </c>
      <c r="H276" s="3" t="s">
        <v>16</v>
      </c>
      <c r="I276" s="3" t="s">
        <v>3122</v>
      </c>
    </row>
    <row r="277" spans="1:9">
      <c r="A277" s="3" t="s">
        <v>9</v>
      </c>
      <c r="B277" s="3" t="s">
        <v>10</v>
      </c>
      <c r="C277" s="3" t="s">
        <v>2547</v>
      </c>
      <c r="D277" s="3" t="s">
        <v>1947</v>
      </c>
      <c r="E277" s="3" t="s">
        <v>3178</v>
      </c>
      <c r="F277" s="3" t="s">
        <v>14</v>
      </c>
      <c r="G277" s="3" t="s">
        <v>3179</v>
      </c>
      <c r="H277" s="3" t="s">
        <v>16</v>
      </c>
      <c r="I277" s="3" t="s">
        <v>3180</v>
      </c>
    </row>
    <row r="278" spans="1:9">
      <c r="A278" s="3" t="s">
        <v>9</v>
      </c>
      <c r="B278" s="3" t="s">
        <v>10</v>
      </c>
      <c r="C278" s="3" t="s">
        <v>2547</v>
      </c>
      <c r="D278" s="3" t="s">
        <v>2398</v>
      </c>
      <c r="E278" s="3" t="s">
        <v>3181</v>
      </c>
      <c r="F278" s="3" t="s">
        <v>14</v>
      </c>
      <c r="G278" s="3" t="s">
        <v>472</v>
      </c>
      <c r="H278" s="3" t="s">
        <v>16</v>
      </c>
      <c r="I278" s="3" t="s">
        <v>3182</v>
      </c>
    </row>
    <row r="279" spans="1:9">
      <c r="A279" s="3" t="s">
        <v>9</v>
      </c>
      <c r="B279" s="3" t="s">
        <v>10</v>
      </c>
      <c r="C279" s="3" t="s">
        <v>2547</v>
      </c>
      <c r="D279" s="3" t="s">
        <v>1276</v>
      </c>
      <c r="E279" s="3" t="s">
        <v>3183</v>
      </c>
      <c r="F279" s="3" t="s">
        <v>14</v>
      </c>
      <c r="G279" s="3" t="s">
        <v>3184</v>
      </c>
      <c r="H279" s="3" t="s">
        <v>16</v>
      </c>
      <c r="I279" s="3" t="s">
        <v>3185</v>
      </c>
    </row>
    <row r="280" spans="1:9">
      <c r="A280" s="3" t="s">
        <v>9</v>
      </c>
      <c r="B280" s="3" t="s">
        <v>10</v>
      </c>
      <c r="C280" s="3" t="s">
        <v>2547</v>
      </c>
      <c r="D280" s="3" t="s">
        <v>3186</v>
      </c>
      <c r="E280" s="3" t="s">
        <v>1736</v>
      </c>
      <c r="F280" s="3" t="s">
        <v>14</v>
      </c>
      <c r="G280" s="3" t="s">
        <v>3187</v>
      </c>
      <c r="H280" s="3" t="s">
        <v>16</v>
      </c>
      <c r="I280" s="3" t="s">
        <v>3188</v>
      </c>
    </row>
    <row r="281" spans="1:9">
      <c r="A281" s="3" t="s">
        <v>9</v>
      </c>
      <c r="B281" s="3" t="s">
        <v>10</v>
      </c>
      <c r="C281" s="3" t="s">
        <v>2547</v>
      </c>
      <c r="D281" s="3" t="s">
        <v>3189</v>
      </c>
      <c r="E281" s="3" t="s">
        <v>3190</v>
      </c>
      <c r="F281" s="3" t="s">
        <v>14</v>
      </c>
      <c r="G281" s="3" t="s">
        <v>3191</v>
      </c>
      <c r="H281" s="3" t="s">
        <v>16</v>
      </c>
      <c r="I281" s="3" t="s">
        <v>3192</v>
      </c>
    </row>
    <row r="282" spans="1:9">
      <c r="A282" s="3" t="s">
        <v>9</v>
      </c>
      <c r="B282" s="3" t="s">
        <v>10</v>
      </c>
      <c r="C282" s="3" t="s">
        <v>2547</v>
      </c>
      <c r="D282" s="3" t="s">
        <v>509</v>
      </c>
      <c r="E282" s="3" t="s">
        <v>3193</v>
      </c>
      <c r="F282" s="3" t="s">
        <v>14</v>
      </c>
      <c r="G282" s="3" t="s">
        <v>3194</v>
      </c>
      <c r="H282" s="3" t="s">
        <v>16</v>
      </c>
      <c r="I282" s="3" t="s">
        <v>3195</v>
      </c>
    </row>
    <row r="283" spans="1:9">
      <c r="A283" s="3" t="s">
        <v>9</v>
      </c>
      <c r="B283" s="3" t="s">
        <v>10</v>
      </c>
      <c r="C283" s="3" t="s">
        <v>2547</v>
      </c>
      <c r="D283" s="3" t="s">
        <v>239</v>
      </c>
      <c r="E283" s="3" t="s">
        <v>3196</v>
      </c>
      <c r="F283" s="3" t="s">
        <v>14</v>
      </c>
      <c r="G283" s="3" t="s">
        <v>3197</v>
      </c>
      <c r="H283" s="3" t="s">
        <v>16</v>
      </c>
      <c r="I283" s="3" t="s">
        <v>3198</v>
      </c>
    </row>
    <row r="284" spans="1:9">
      <c r="A284" s="3" t="s">
        <v>9</v>
      </c>
      <c r="B284" s="3" t="s">
        <v>10</v>
      </c>
      <c r="C284" s="3" t="s">
        <v>2547</v>
      </c>
      <c r="D284" s="3" t="s">
        <v>3199</v>
      </c>
      <c r="E284" s="3" t="s">
        <v>3200</v>
      </c>
      <c r="F284" s="3" t="s">
        <v>14</v>
      </c>
      <c r="G284" s="3" t="s">
        <v>3201</v>
      </c>
      <c r="H284" s="3" t="s">
        <v>16</v>
      </c>
      <c r="I284" s="3" t="s">
        <v>3202</v>
      </c>
    </row>
    <row r="285" spans="1:9">
      <c r="A285" s="3" t="s">
        <v>9</v>
      </c>
      <c r="B285" s="3" t="s">
        <v>10</v>
      </c>
      <c r="C285" s="3" t="s">
        <v>2547</v>
      </c>
      <c r="D285" s="3" t="s">
        <v>3203</v>
      </c>
      <c r="E285" s="3" t="s">
        <v>3204</v>
      </c>
      <c r="F285" s="3" t="s">
        <v>14</v>
      </c>
      <c r="G285" s="3" t="s">
        <v>3205</v>
      </c>
      <c r="H285" s="3" t="s">
        <v>16</v>
      </c>
      <c r="I285" s="3" t="s">
        <v>3206</v>
      </c>
    </row>
    <row r="286" spans="1:9">
      <c r="A286" s="3" t="s">
        <v>9</v>
      </c>
      <c r="B286" s="3" t="s">
        <v>3207</v>
      </c>
      <c r="C286" s="3" t="s">
        <v>2547</v>
      </c>
      <c r="D286" s="3" t="s">
        <v>3208</v>
      </c>
      <c r="E286" s="3" t="s">
        <v>3209</v>
      </c>
      <c r="F286" s="3" t="s">
        <v>38</v>
      </c>
      <c r="G286" s="3" t="s">
        <v>3210</v>
      </c>
      <c r="H286" s="3" t="s">
        <v>16</v>
      </c>
      <c r="I286" s="3" t="s">
        <v>3211</v>
      </c>
    </row>
    <row r="287" spans="1:9">
      <c r="A287" s="3" t="s">
        <v>9</v>
      </c>
      <c r="B287" s="3" t="s">
        <v>2558</v>
      </c>
      <c r="C287" s="3" t="s">
        <v>2547</v>
      </c>
      <c r="D287" s="3" t="s">
        <v>358</v>
      </c>
      <c r="E287" s="3" t="s">
        <v>3212</v>
      </c>
      <c r="F287" s="3" t="s">
        <v>38</v>
      </c>
      <c r="G287" s="3" t="s">
        <v>3213</v>
      </c>
      <c r="H287" s="3" t="s">
        <v>16</v>
      </c>
      <c r="I287" s="3" t="s">
        <v>3214</v>
      </c>
    </row>
    <row r="288" spans="1:9">
      <c r="A288" s="3" t="s">
        <v>9</v>
      </c>
      <c r="B288" s="3" t="s">
        <v>3384</v>
      </c>
      <c r="C288" s="3" t="s">
        <v>2547</v>
      </c>
      <c r="D288" s="3" t="s">
        <v>1883</v>
      </c>
      <c r="E288" s="3" t="s">
        <v>3385</v>
      </c>
      <c r="F288" s="3" t="s">
        <v>38</v>
      </c>
      <c r="G288" s="3" t="s">
        <v>433</v>
      </c>
      <c r="H288" s="3" t="s">
        <v>16</v>
      </c>
      <c r="I288" s="3" t="s">
        <v>3386</v>
      </c>
    </row>
    <row r="289" spans="1:9">
      <c r="A289" s="3" t="s">
        <v>9</v>
      </c>
      <c r="B289" s="3" t="s">
        <v>3528</v>
      </c>
      <c r="C289" s="3" t="s">
        <v>3529</v>
      </c>
      <c r="D289" s="3" t="s">
        <v>681</v>
      </c>
      <c r="E289" s="3" t="s">
        <v>901</v>
      </c>
      <c r="F289" s="3" t="s">
        <v>217</v>
      </c>
      <c r="G289" s="3" t="s">
        <v>3530</v>
      </c>
      <c r="H289" s="3" t="s">
        <v>323</v>
      </c>
      <c r="I289" s="3" t="s">
        <v>3531</v>
      </c>
    </row>
    <row r="290" spans="1:9">
      <c r="A290" s="3" t="s">
        <v>9</v>
      </c>
      <c r="B290" s="3" t="s">
        <v>3528</v>
      </c>
      <c r="C290" s="3" t="s">
        <v>3529</v>
      </c>
      <c r="D290" s="3" t="s">
        <v>3532</v>
      </c>
      <c r="E290" s="3" t="s">
        <v>3533</v>
      </c>
      <c r="F290" s="3" t="s">
        <v>217</v>
      </c>
      <c r="G290" s="3" t="s">
        <v>3534</v>
      </c>
      <c r="H290" s="3" t="s">
        <v>323</v>
      </c>
      <c r="I290" s="3" t="s">
        <v>3535</v>
      </c>
    </row>
    <row r="291" spans="1:9">
      <c r="A291" s="3" t="s">
        <v>9</v>
      </c>
      <c r="B291" s="3" t="s">
        <v>3536</v>
      </c>
      <c r="C291" s="3" t="s">
        <v>3529</v>
      </c>
      <c r="D291" s="3" t="s">
        <v>165</v>
      </c>
      <c r="E291" s="3" t="s">
        <v>3537</v>
      </c>
      <c r="F291" s="3" t="s">
        <v>217</v>
      </c>
      <c r="G291" s="3" t="s">
        <v>3538</v>
      </c>
      <c r="H291" s="3" t="s">
        <v>323</v>
      </c>
      <c r="I291" s="3" t="s">
        <v>3539</v>
      </c>
    </row>
    <row r="292" spans="1:9">
      <c r="A292" s="3" t="s">
        <v>9</v>
      </c>
      <c r="B292" s="3" t="s">
        <v>3611</v>
      </c>
      <c r="C292" s="3" t="s">
        <v>3529</v>
      </c>
      <c r="D292" s="3" t="s">
        <v>45</v>
      </c>
      <c r="E292" s="3" t="s">
        <v>3612</v>
      </c>
      <c r="F292" s="3" t="s">
        <v>217</v>
      </c>
      <c r="G292" s="3" t="s">
        <v>3613</v>
      </c>
      <c r="H292" s="3" t="s">
        <v>16</v>
      </c>
      <c r="I292" s="3" t="s">
        <v>3614</v>
      </c>
    </row>
    <row r="293" spans="1:9">
      <c r="A293" s="3" t="s">
        <v>9</v>
      </c>
      <c r="B293" s="3" t="s">
        <v>3622</v>
      </c>
      <c r="C293" s="3" t="s">
        <v>3529</v>
      </c>
      <c r="D293" s="3" t="s">
        <v>173</v>
      </c>
      <c r="E293" s="3" t="s">
        <v>3326</v>
      </c>
      <c r="F293" s="3" t="s">
        <v>217</v>
      </c>
      <c r="G293" s="3" t="s">
        <v>3623</v>
      </c>
      <c r="H293" s="3" t="s">
        <v>16</v>
      </c>
      <c r="I293" s="3" t="s">
        <v>3624</v>
      </c>
    </row>
    <row r="294" spans="1:9">
      <c r="A294" s="3" t="s">
        <v>73</v>
      </c>
      <c r="B294" s="3" t="s">
        <v>74</v>
      </c>
      <c r="C294" s="3" t="s">
        <v>11</v>
      </c>
      <c r="D294" s="3" t="s">
        <v>75</v>
      </c>
      <c r="E294" s="3" t="s">
        <v>76</v>
      </c>
      <c r="F294" s="3" t="s">
        <v>38</v>
      </c>
      <c r="G294" s="3" t="s">
        <v>77</v>
      </c>
      <c r="H294" s="3" t="s">
        <v>16</v>
      </c>
      <c r="I294" s="3" t="s">
        <v>78</v>
      </c>
    </row>
    <row r="295" spans="1:9">
      <c r="A295" s="3" t="s">
        <v>73</v>
      </c>
      <c r="B295" s="3" t="s">
        <v>74</v>
      </c>
      <c r="C295" s="3" t="s">
        <v>11</v>
      </c>
      <c r="D295" s="3" t="s">
        <v>79</v>
      </c>
      <c r="E295" s="3" t="s">
        <v>80</v>
      </c>
      <c r="F295" s="3" t="s">
        <v>38</v>
      </c>
      <c r="G295" s="3" t="s">
        <v>81</v>
      </c>
      <c r="H295" s="3" t="s">
        <v>16</v>
      </c>
      <c r="I295" s="3" t="s">
        <v>82</v>
      </c>
    </row>
    <row r="296" spans="1:9">
      <c r="A296" s="3" t="s">
        <v>73</v>
      </c>
      <c r="B296" s="3" t="s">
        <v>74</v>
      </c>
      <c r="C296" s="3" t="s">
        <v>11</v>
      </c>
      <c r="D296" s="3" t="s">
        <v>83</v>
      </c>
      <c r="E296" s="3" t="s">
        <v>84</v>
      </c>
      <c r="F296" s="3" t="s">
        <v>38</v>
      </c>
      <c r="G296" s="3" t="s">
        <v>85</v>
      </c>
      <c r="H296" s="3" t="s">
        <v>16</v>
      </c>
      <c r="I296" s="3" t="s">
        <v>86</v>
      </c>
    </row>
    <row r="297" spans="1:9">
      <c r="A297" s="3" t="s">
        <v>73</v>
      </c>
      <c r="B297" s="3" t="s">
        <v>74</v>
      </c>
      <c r="C297" s="3" t="s">
        <v>11</v>
      </c>
      <c r="D297" s="3" t="s">
        <v>41</v>
      </c>
      <c r="E297" s="3" t="s">
        <v>87</v>
      </c>
      <c r="F297" s="3" t="s">
        <v>38</v>
      </c>
      <c r="G297" s="3" t="s">
        <v>88</v>
      </c>
      <c r="H297" s="3" t="s">
        <v>16</v>
      </c>
      <c r="I297" s="3" t="s">
        <v>89</v>
      </c>
    </row>
    <row r="298" spans="1:9">
      <c r="A298" s="3" t="s">
        <v>73</v>
      </c>
      <c r="B298" s="3" t="s">
        <v>146</v>
      </c>
      <c r="C298" s="3" t="s">
        <v>11</v>
      </c>
      <c r="D298" s="3" t="s">
        <v>147</v>
      </c>
      <c r="E298" s="3" t="s">
        <v>148</v>
      </c>
      <c r="F298" s="3" t="s">
        <v>38</v>
      </c>
      <c r="G298" s="3" t="s">
        <v>149</v>
      </c>
      <c r="H298" s="3" t="s">
        <v>16</v>
      </c>
      <c r="I298" s="3" t="s">
        <v>150</v>
      </c>
    </row>
    <row r="299" spans="1:9">
      <c r="A299" s="3" t="s">
        <v>73</v>
      </c>
      <c r="B299" s="3" t="s">
        <v>146</v>
      </c>
      <c r="C299" s="3" t="s">
        <v>11</v>
      </c>
      <c r="D299" s="3" t="s">
        <v>151</v>
      </c>
      <c r="E299" s="3" t="s">
        <v>152</v>
      </c>
      <c r="F299" s="3" t="s">
        <v>38</v>
      </c>
      <c r="G299" s="3" t="s">
        <v>153</v>
      </c>
      <c r="H299" s="3" t="s">
        <v>16</v>
      </c>
      <c r="I299" s="3" t="s">
        <v>154</v>
      </c>
    </row>
    <row r="300" spans="1:9">
      <c r="A300" s="3" t="s">
        <v>73</v>
      </c>
      <c r="B300" s="3" t="s">
        <v>146</v>
      </c>
      <c r="C300" s="3" t="s">
        <v>11</v>
      </c>
      <c r="D300" s="3" t="s">
        <v>155</v>
      </c>
      <c r="E300" s="3" t="s">
        <v>156</v>
      </c>
      <c r="F300" s="3" t="s">
        <v>38</v>
      </c>
      <c r="G300" s="3" t="s">
        <v>157</v>
      </c>
      <c r="H300" s="3" t="s">
        <v>16</v>
      </c>
      <c r="I300" s="3" t="s">
        <v>158</v>
      </c>
    </row>
    <row r="301" spans="1:9">
      <c r="A301" s="3" t="s">
        <v>73</v>
      </c>
      <c r="B301" s="3" t="s">
        <v>146</v>
      </c>
      <c r="C301" s="3" t="s">
        <v>11</v>
      </c>
      <c r="D301" s="3" t="s">
        <v>159</v>
      </c>
      <c r="E301" s="3" t="s">
        <v>160</v>
      </c>
      <c r="F301" s="3" t="s">
        <v>38</v>
      </c>
      <c r="G301" s="3" t="s">
        <v>161</v>
      </c>
      <c r="H301" s="3" t="s">
        <v>16</v>
      </c>
      <c r="I301" s="3" t="s">
        <v>162</v>
      </c>
    </row>
    <row r="302" spans="1:9">
      <c r="A302" s="3" t="s">
        <v>73</v>
      </c>
      <c r="B302" s="3" t="s">
        <v>146</v>
      </c>
      <c r="C302" s="3" t="s">
        <v>11</v>
      </c>
      <c r="D302" s="3" t="s">
        <v>125</v>
      </c>
      <c r="E302" s="3" t="s">
        <v>163</v>
      </c>
      <c r="F302" s="3" t="s">
        <v>38</v>
      </c>
      <c r="G302" s="3" t="s">
        <v>32</v>
      </c>
      <c r="H302" s="3" t="s">
        <v>16</v>
      </c>
      <c r="I302" s="3" t="s">
        <v>164</v>
      </c>
    </row>
    <row r="303" spans="1:9">
      <c r="A303" s="3" t="s">
        <v>73</v>
      </c>
      <c r="B303" s="3" t="s">
        <v>146</v>
      </c>
      <c r="C303" s="3" t="s">
        <v>11</v>
      </c>
      <c r="D303" s="3" t="s">
        <v>165</v>
      </c>
      <c r="E303" s="3" t="s">
        <v>166</v>
      </c>
      <c r="F303" s="3" t="s">
        <v>38</v>
      </c>
      <c r="G303" s="3" t="s">
        <v>167</v>
      </c>
      <c r="H303" s="3" t="s">
        <v>16</v>
      </c>
      <c r="I303" s="3" t="s">
        <v>168</v>
      </c>
    </row>
    <row r="304" spans="1:9">
      <c r="A304" s="3" t="s">
        <v>73</v>
      </c>
      <c r="B304" s="3" t="s">
        <v>146</v>
      </c>
      <c r="C304" s="3" t="s">
        <v>11</v>
      </c>
      <c r="D304" s="3" t="s">
        <v>169</v>
      </c>
      <c r="E304" s="3" t="s">
        <v>170</v>
      </c>
      <c r="F304" s="3" t="s">
        <v>38</v>
      </c>
      <c r="G304" s="3" t="s">
        <v>171</v>
      </c>
      <c r="H304" s="3" t="s">
        <v>16</v>
      </c>
      <c r="I304" s="3" t="s">
        <v>172</v>
      </c>
    </row>
    <row r="305" spans="1:9">
      <c r="A305" s="3" t="s">
        <v>73</v>
      </c>
      <c r="B305" s="3" t="s">
        <v>146</v>
      </c>
      <c r="C305" s="3" t="s">
        <v>11</v>
      </c>
      <c r="D305" s="3" t="s">
        <v>173</v>
      </c>
      <c r="E305" s="3" t="s">
        <v>174</v>
      </c>
      <c r="F305" s="3" t="s">
        <v>38</v>
      </c>
      <c r="G305" s="3" t="s">
        <v>175</v>
      </c>
      <c r="H305" s="3" t="s">
        <v>16</v>
      </c>
      <c r="I305" s="3" t="s">
        <v>176</v>
      </c>
    </row>
    <row r="306" spans="1:9">
      <c r="A306" s="3" t="s">
        <v>73</v>
      </c>
      <c r="B306" s="3" t="s">
        <v>146</v>
      </c>
      <c r="C306" s="3" t="s">
        <v>11</v>
      </c>
      <c r="D306" s="3" t="s">
        <v>177</v>
      </c>
      <c r="E306" s="3" t="s">
        <v>178</v>
      </c>
      <c r="F306" s="3" t="s">
        <v>38</v>
      </c>
      <c r="G306" s="3" t="s">
        <v>179</v>
      </c>
      <c r="H306" s="3" t="s">
        <v>16</v>
      </c>
      <c r="I306" s="3" t="s">
        <v>180</v>
      </c>
    </row>
    <row r="307" spans="1:9">
      <c r="A307" s="3" t="s">
        <v>73</v>
      </c>
      <c r="B307" s="3" t="s">
        <v>146</v>
      </c>
      <c r="C307" s="3" t="s">
        <v>11</v>
      </c>
      <c r="D307" s="3" t="s">
        <v>181</v>
      </c>
      <c r="E307" s="3" t="s">
        <v>182</v>
      </c>
      <c r="F307" s="3" t="s">
        <v>38</v>
      </c>
      <c r="G307" s="3" t="s">
        <v>15</v>
      </c>
      <c r="H307" s="3" t="s">
        <v>16</v>
      </c>
      <c r="I307" s="3" t="s">
        <v>183</v>
      </c>
    </row>
    <row r="308" spans="1:9">
      <c r="A308" s="3" t="s">
        <v>73</v>
      </c>
      <c r="B308" s="3" t="s">
        <v>184</v>
      </c>
      <c r="C308" s="3" t="s">
        <v>11</v>
      </c>
      <c r="D308" s="3" t="s">
        <v>107</v>
      </c>
      <c r="E308" s="3" t="s">
        <v>185</v>
      </c>
      <c r="F308" s="3" t="s">
        <v>38</v>
      </c>
      <c r="G308" s="3" t="s">
        <v>186</v>
      </c>
      <c r="H308" s="3" t="s">
        <v>16</v>
      </c>
      <c r="I308" s="3" t="s">
        <v>187</v>
      </c>
    </row>
    <row r="309" spans="1:9">
      <c r="A309" s="3" t="s">
        <v>73</v>
      </c>
      <c r="B309" s="3" t="s">
        <v>184</v>
      </c>
      <c r="C309" s="3" t="s">
        <v>11</v>
      </c>
      <c r="D309" s="3" t="s">
        <v>107</v>
      </c>
      <c r="E309" s="3" t="s">
        <v>188</v>
      </c>
      <c r="F309" s="3" t="s">
        <v>38</v>
      </c>
      <c r="G309" s="3" t="s">
        <v>189</v>
      </c>
      <c r="H309" s="3" t="s">
        <v>16</v>
      </c>
      <c r="I309" s="3" t="s">
        <v>190</v>
      </c>
    </row>
    <row r="310" spans="1:9">
      <c r="A310" s="3" t="s">
        <v>73</v>
      </c>
      <c r="B310" s="3" t="s">
        <v>209</v>
      </c>
      <c r="C310" s="3" t="s">
        <v>11</v>
      </c>
      <c r="D310" s="3" t="s">
        <v>210</v>
      </c>
      <c r="E310" s="3" t="s">
        <v>211</v>
      </c>
      <c r="F310" s="3" t="s">
        <v>38</v>
      </c>
      <c r="G310" s="3"/>
      <c r="H310" s="3" t="s">
        <v>212</v>
      </c>
      <c r="I310" s="3" t="s">
        <v>213</v>
      </c>
    </row>
    <row r="311" spans="1:9">
      <c r="A311" s="3" t="s">
        <v>73</v>
      </c>
      <c r="B311" s="3" t="s">
        <v>214</v>
      </c>
      <c r="C311" s="3" t="s">
        <v>11</v>
      </c>
      <c r="D311" s="3" t="s">
        <v>215</v>
      </c>
      <c r="E311" s="3" t="s">
        <v>216</v>
      </c>
      <c r="F311" s="3" t="s">
        <v>217</v>
      </c>
      <c r="G311" s="3"/>
      <c r="H311" s="3" t="s">
        <v>212</v>
      </c>
      <c r="I311" s="3" t="s">
        <v>218</v>
      </c>
    </row>
    <row r="312" spans="1:9">
      <c r="A312" s="3" t="s">
        <v>73</v>
      </c>
      <c r="B312" s="3" t="s">
        <v>214</v>
      </c>
      <c r="C312" s="3" t="s">
        <v>11</v>
      </c>
      <c r="D312" s="3" t="s">
        <v>219</v>
      </c>
      <c r="E312" s="3" t="s">
        <v>220</v>
      </c>
      <c r="F312" s="3" t="s">
        <v>217</v>
      </c>
      <c r="G312" s="3"/>
      <c r="H312" s="3" t="s">
        <v>212</v>
      </c>
      <c r="I312" s="3" t="s">
        <v>221</v>
      </c>
    </row>
    <row r="313" spans="1:9">
      <c r="A313" s="3" t="s">
        <v>73</v>
      </c>
      <c r="B313" s="3" t="s">
        <v>235</v>
      </c>
      <c r="C313" s="3" t="s">
        <v>11</v>
      </c>
      <c r="D313" s="3" t="s">
        <v>236</v>
      </c>
      <c r="E313" s="3" t="s">
        <v>237</v>
      </c>
      <c r="F313" s="3" t="s">
        <v>217</v>
      </c>
      <c r="G313" s="3"/>
      <c r="H313" s="3" t="s">
        <v>16</v>
      </c>
      <c r="I313" s="3" t="s">
        <v>238</v>
      </c>
    </row>
    <row r="314" spans="1:9">
      <c r="A314" s="3" t="s">
        <v>73</v>
      </c>
      <c r="B314" s="3" t="s">
        <v>325</v>
      </c>
      <c r="C314" s="3" t="s">
        <v>320</v>
      </c>
      <c r="D314" s="3" t="s">
        <v>228</v>
      </c>
      <c r="E314" s="3" t="s">
        <v>326</v>
      </c>
      <c r="F314" s="3" t="s">
        <v>38</v>
      </c>
      <c r="G314" s="3"/>
      <c r="H314" s="3" t="s">
        <v>323</v>
      </c>
      <c r="I314" s="3" t="s">
        <v>327</v>
      </c>
    </row>
    <row r="315" spans="1:9">
      <c r="A315" s="3" t="s">
        <v>73</v>
      </c>
      <c r="B315" s="3" t="s">
        <v>325</v>
      </c>
      <c r="C315" s="3" t="s">
        <v>320</v>
      </c>
      <c r="D315" s="3" t="s">
        <v>328</v>
      </c>
      <c r="E315" s="3" t="s">
        <v>329</v>
      </c>
      <c r="F315" s="3" t="s">
        <v>38</v>
      </c>
      <c r="G315" s="3"/>
      <c r="H315" s="3" t="s">
        <v>323</v>
      </c>
      <c r="I315" s="3" t="s">
        <v>330</v>
      </c>
    </row>
    <row r="316" spans="1:9">
      <c r="A316" s="3" t="s">
        <v>73</v>
      </c>
      <c r="B316" s="3" t="s">
        <v>331</v>
      </c>
      <c r="C316" s="3" t="s">
        <v>320</v>
      </c>
      <c r="D316" s="3" t="s">
        <v>332</v>
      </c>
      <c r="E316" s="3" t="s">
        <v>333</v>
      </c>
      <c r="F316" s="3" t="s">
        <v>38</v>
      </c>
      <c r="G316" s="3"/>
      <c r="H316" s="3" t="s">
        <v>323</v>
      </c>
      <c r="I316" s="3" t="s">
        <v>334</v>
      </c>
    </row>
    <row r="317" spans="1:9">
      <c r="A317" s="3" t="s">
        <v>73</v>
      </c>
      <c r="B317" s="3" t="s">
        <v>335</v>
      </c>
      <c r="C317" s="3" t="s">
        <v>320</v>
      </c>
      <c r="D317" s="3" t="s">
        <v>336</v>
      </c>
      <c r="E317" s="3" t="s">
        <v>337</v>
      </c>
      <c r="F317" s="3" t="s">
        <v>38</v>
      </c>
      <c r="G317" s="3"/>
      <c r="H317" s="3" t="s">
        <v>323</v>
      </c>
      <c r="I317" s="3" t="s">
        <v>338</v>
      </c>
    </row>
    <row r="318" spans="1:9">
      <c r="A318" s="3" t="s">
        <v>73</v>
      </c>
      <c r="B318" s="3" t="s">
        <v>335</v>
      </c>
      <c r="C318" s="3" t="s">
        <v>320</v>
      </c>
      <c r="D318" s="3" t="s">
        <v>239</v>
      </c>
      <c r="E318" s="3" t="s">
        <v>339</v>
      </c>
      <c r="F318" s="3" t="s">
        <v>38</v>
      </c>
      <c r="G318" s="3"/>
      <c r="H318" s="3" t="s">
        <v>323</v>
      </c>
      <c r="I318" s="3" t="s">
        <v>340</v>
      </c>
    </row>
    <row r="319" spans="1:9">
      <c r="A319" s="3" t="s">
        <v>73</v>
      </c>
      <c r="B319" s="3" t="s">
        <v>341</v>
      </c>
      <c r="C319" s="3" t="s">
        <v>320</v>
      </c>
      <c r="D319" s="3" t="s">
        <v>342</v>
      </c>
      <c r="E319" s="3" t="s">
        <v>343</v>
      </c>
      <c r="F319" s="3" t="s">
        <v>38</v>
      </c>
      <c r="G319" s="3"/>
      <c r="H319" s="3" t="s">
        <v>323</v>
      </c>
      <c r="I319" s="3" t="s">
        <v>344</v>
      </c>
    </row>
    <row r="320" spans="1:9">
      <c r="A320" s="3" t="s">
        <v>73</v>
      </c>
      <c r="B320" s="3" t="s">
        <v>345</v>
      </c>
      <c r="C320" s="3" t="s">
        <v>320</v>
      </c>
      <c r="D320" s="3" t="s">
        <v>45</v>
      </c>
      <c r="E320" s="3" t="s">
        <v>346</v>
      </c>
      <c r="F320" s="3" t="s">
        <v>38</v>
      </c>
      <c r="G320" s="3"/>
      <c r="H320" s="3" t="s">
        <v>323</v>
      </c>
      <c r="I320" s="3" t="s">
        <v>347</v>
      </c>
    </row>
    <row r="321" spans="1:9">
      <c r="A321" s="3" t="s">
        <v>73</v>
      </c>
      <c r="B321" s="3" t="s">
        <v>345</v>
      </c>
      <c r="C321" s="3" t="s">
        <v>320</v>
      </c>
      <c r="D321" s="3" t="s">
        <v>348</v>
      </c>
      <c r="E321" s="3" t="s">
        <v>349</v>
      </c>
      <c r="F321" s="3" t="s">
        <v>38</v>
      </c>
      <c r="G321" s="3"/>
      <c r="H321" s="3" t="s">
        <v>323</v>
      </c>
      <c r="I321" s="3" t="s">
        <v>350</v>
      </c>
    </row>
    <row r="322" spans="1:9">
      <c r="A322" s="3" t="s">
        <v>73</v>
      </c>
      <c r="B322" s="3" t="s">
        <v>387</v>
      </c>
      <c r="C322" s="3" t="s">
        <v>320</v>
      </c>
      <c r="D322" s="3" t="s">
        <v>388</v>
      </c>
      <c r="E322" s="3" t="s">
        <v>389</v>
      </c>
      <c r="F322" s="3" t="s">
        <v>38</v>
      </c>
      <c r="G322" s="3"/>
      <c r="H322" s="3" t="s">
        <v>323</v>
      </c>
      <c r="I322" s="3" t="s">
        <v>390</v>
      </c>
    </row>
    <row r="323" spans="1:9">
      <c r="A323" s="3" t="s">
        <v>73</v>
      </c>
      <c r="B323" s="3" t="s">
        <v>391</v>
      </c>
      <c r="C323" s="3" t="s">
        <v>320</v>
      </c>
      <c r="D323" s="3" t="s">
        <v>239</v>
      </c>
      <c r="E323" s="3" t="s">
        <v>392</v>
      </c>
      <c r="F323" s="3" t="s">
        <v>38</v>
      </c>
      <c r="G323" s="3" t="s">
        <v>304</v>
      </c>
      <c r="H323" s="3" t="s">
        <v>323</v>
      </c>
      <c r="I323" s="3" t="s">
        <v>393</v>
      </c>
    </row>
    <row r="324" spans="1:9">
      <c r="A324" s="3" t="s">
        <v>73</v>
      </c>
      <c r="B324" s="3" t="s">
        <v>391</v>
      </c>
      <c r="C324" s="3" t="s">
        <v>320</v>
      </c>
      <c r="D324" s="3" t="s">
        <v>282</v>
      </c>
      <c r="E324" s="3" t="s">
        <v>394</v>
      </c>
      <c r="F324" s="3" t="s">
        <v>38</v>
      </c>
      <c r="G324" s="3" t="s">
        <v>395</v>
      </c>
      <c r="H324" s="3" t="s">
        <v>323</v>
      </c>
      <c r="I324" s="3" t="s">
        <v>396</v>
      </c>
    </row>
    <row r="325" spans="1:9">
      <c r="A325" s="3" t="s">
        <v>73</v>
      </c>
      <c r="B325" s="3" t="s">
        <v>397</v>
      </c>
      <c r="C325" s="3" t="s">
        <v>320</v>
      </c>
      <c r="D325" s="3" t="s">
        <v>165</v>
      </c>
      <c r="E325" s="3" t="s">
        <v>398</v>
      </c>
      <c r="F325" s="3" t="s">
        <v>38</v>
      </c>
      <c r="G325" s="3" t="s">
        <v>399</v>
      </c>
      <c r="H325" s="3" t="s">
        <v>323</v>
      </c>
      <c r="I325" s="3" t="s">
        <v>400</v>
      </c>
    </row>
    <row r="326" spans="1:9">
      <c r="A326" s="3" t="s">
        <v>73</v>
      </c>
      <c r="B326" s="3" t="s">
        <v>325</v>
      </c>
      <c r="C326" s="3" t="s">
        <v>320</v>
      </c>
      <c r="D326" s="3" t="s">
        <v>116</v>
      </c>
      <c r="E326" s="3" t="s">
        <v>401</v>
      </c>
      <c r="F326" s="3" t="s">
        <v>38</v>
      </c>
      <c r="G326" s="3" t="s">
        <v>402</v>
      </c>
      <c r="H326" s="3" t="s">
        <v>323</v>
      </c>
      <c r="I326" s="3" t="s">
        <v>403</v>
      </c>
    </row>
    <row r="327" spans="1:9">
      <c r="A327" s="3" t="s">
        <v>73</v>
      </c>
      <c r="B327" s="3" t="s">
        <v>335</v>
      </c>
      <c r="C327" s="3" t="s">
        <v>320</v>
      </c>
      <c r="D327" s="3" t="s">
        <v>411</v>
      </c>
      <c r="E327" s="3" t="s">
        <v>412</v>
      </c>
      <c r="F327" s="3" t="s">
        <v>38</v>
      </c>
      <c r="G327" s="3" t="s">
        <v>413</v>
      </c>
      <c r="H327" s="3" t="s">
        <v>323</v>
      </c>
      <c r="I327" s="3" t="s">
        <v>414</v>
      </c>
    </row>
    <row r="328" spans="1:9">
      <c r="A328" s="3" t="s">
        <v>73</v>
      </c>
      <c r="B328" s="3" t="s">
        <v>335</v>
      </c>
      <c r="C328" s="3" t="s">
        <v>320</v>
      </c>
      <c r="D328" s="3" t="s">
        <v>415</v>
      </c>
      <c r="E328" s="3" t="s">
        <v>416</v>
      </c>
      <c r="F328" s="3" t="s">
        <v>38</v>
      </c>
      <c r="G328" s="3" t="s">
        <v>417</v>
      </c>
      <c r="H328" s="3" t="s">
        <v>323</v>
      </c>
      <c r="I328" s="3" t="s">
        <v>418</v>
      </c>
    </row>
    <row r="329" spans="1:9">
      <c r="A329" s="3" t="s">
        <v>73</v>
      </c>
      <c r="B329" s="3" t="s">
        <v>325</v>
      </c>
      <c r="C329" s="3" t="s">
        <v>320</v>
      </c>
      <c r="D329" s="3" t="s">
        <v>103</v>
      </c>
      <c r="E329" s="3" t="s">
        <v>435</v>
      </c>
      <c r="F329" s="3" t="s">
        <v>38</v>
      </c>
      <c r="G329" s="3" t="s">
        <v>436</v>
      </c>
      <c r="H329" s="3" t="s">
        <v>323</v>
      </c>
      <c r="I329" s="3" t="s">
        <v>437</v>
      </c>
    </row>
    <row r="330" spans="1:9">
      <c r="A330" s="3" t="s">
        <v>73</v>
      </c>
      <c r="B330" s="3" t="s">
        <v>441</v>
      </c>
      <c r="C330" s="3" t="s">
        <v>320</v>
      </c>
      <c r="D330" s="3" t="s">
        <v>442</v>
      </c>
      <c r="E330" s="3" t="s">
        <v>443</v>
      </c>
      <c r="F330" s="3" t="s">
        <v>38</v>
      </c>
      <c r="G330" s="3" t="s">
        <v>444</v>
      </c>
      <c r="H330" s="3" t="s">
        <v>16</v>
      </c>
      <c r="I330" s="3" t="s">
        <v>445</v>
      </c>
    </row>
    <row r="331" spans="1:9">
      <c r="A331" s="3" t="s">
        <v>73</v>
      </c>
      <c r="B331" s="3" t="s">
        <v>446</v>
      </c>
      <c r="C331" s="3" t="s">
        <v>320</v>
      </c>
      <c r="D331" s="3" t="s">
        <v>447</v>
      </c>
      <c r="E331" s="3" t="s">
        <v>448</v>
      </c>
      <c r="F331" s="3" t="s">
        <v>38</v>
      </c>
      <c r="G331" s="3" t="s">
        <v>449</v>
      </c>
      <c r="H331" s="3" t="s">
        <v>16</v>
      </c>
      <c r="I331" s="3" t="s">
        <v>450</v>
      </c>
    </row>
    <row r="332" spans="1:9">
      <c r="A332" s="3" t="s">
        <v>73</v>
      </c>
      <c r="B332" s="3" t="s">
        <v>451</v>
      </c>
      <c r="C332" s="3" t="s">
        <v>320</v>
      </c>
      <c r="D332" s="3" t="s">
        <v>165</v>
      </c>
      <c r="E332" s="3" t="s">
        <v>452</v>
      </c>
      <c r="F332" s="3" t="s">
        <v>38</v>
      </c>
      <c r="G332" s="3" t="s">
        <v>453</v>
      </c>
      <c r="H332" s="3" t="s">
        <v>16</v>
      </c>
      <c r="I332" s="3" t="s">
        <v>454</v>
      </c>
    </row>
    <row r="333" spans="1:9">
      <c r="A333" s="3" t="s">
        <v>73</v>
      </c>
      <c r="B333" s="3" t="s">
        <v>455</v>
      </c>
      <c r="C333" s="3" t="s">
        <v>320</v>
      </c>
      <c r="D333" s="3" t="s">
        <v>456</v>
      </c>
      <c r="E333" s="3" t="s">
        <v>457</v>
      </c>
      <c r="F333" s="3" t="s">
        <v>38</v>
      </c>
      <c r="G333" s="3" t="s">
        <v>458</v>
      </c>
      <c r="H333" s="3" t="s">
        <v>16</v>
      </c>
      <c r="I333" s="3" t="s">
        <v>459</v>
      </c>
    </row>
    <row r="334" spans="1:9">
      <c r="A334" s="3" t="s">
        <v>73</v>
      </c>
      <c r="B334" s="3" t="s">
        <v>460</v>
      </c>
      <c r="C334" s="3" t="s">
        <v>320</v>
      </c>
      <c r="D334" s="3" t="s">
        <v>461</v>
      </c>
      <c r="E334" s="3" t="s">
        <v>462</v>
      </c>
      <c r="F334" s="3" t="s">
        <v>38</v>
      </c>
      <c r="G334" s="3" t="s">
        <v>463</v>
      </c>
      <c r="H334" s="3" t="s">
        <v>16</v>
      </c>
      <c r="I334" s="3" t="s">
        <v>464</v>
      </c>
    </row>
    <row r="335" spans="1:9">
      <c r="A335" s="3" t="s">
        <v>73</v>
      </c>
      <c r="B335" s="3" t="s">
        <v>465</v>
      </c>
      <c r="C335" s="3" t="s">
        <v>320</v>
      </c>
      <c r="D335" s="3" t="s">
        <v>466</v>
      </c>
      <c r="E335" s="3" t="s">
        <v>377</v>
      </c>
      <c r="F335" s="3" t="s">
        <v>38</v>
      </c>
      <c r="G335" s="3" t="s">
        <v>467</v>
      </c>
      <c r="H335" s="3" t="s">
        <v>16</v>
      </c>
      <c r="I335" s="3" t="s">
        <v>468</v>
      </c>
    </row>
    <row r="336" spans="1:9">
      <c r="A336" s="3" t="s">
        <v>73</v>
      </c>
      <c r="B336" s="3" t="s">
        <v>469</v>
      </c>
      <c r="C336" s="3" t="s">
        <v>320</v>
      </c>
      <c r="D336" s="3" t="s">
        <v>470</v>
      </c>
      <c r="E336" s="3" t="s">
        <v>471</v>
      </c>
      <c r="F336" s="3" t="s">
        <v>38</v>
      </c>
      <c r="G336" s="3" t="s">
        <v>472</v>
      </c>
      <c r="H336" s="3" t="s">
        <v>16</v>
      </c>
      <c r="I336" s="3" t="s">
        <v>473</v>
      </c>
    </row>
    <row r="337" spans="1:9">
      <c r="A337" s="3" t="s">
        <v>73</v>
      </c>
      <c r="B337" s="3" t="s">
        <v>474</v>
      </c>
      <c r="C337" s="3" t="s">
        <v>320</v>
      </c>
      <c r="D337" s="3" t="s">
        <v>142</v>
      </c>
      <c r="E337" s="3" t="s">
        <v>475</v>
      </c>
      <c r="F337" s="3" t="s">
        <v>38</v>
      </c>
      <c r="G337" s="3" t="s">
        <v>476</v>
      </c>
      <c r="H337" s="3" t="s">
        <v>16</v>
      </c>
      <c r="I337" s="3" t="s">
        <v>477</v>
      </c>
    </row>
    <row r="338" spans="1:9">
      <c r="A338" s="3" t="s">
        <v>73</v>
      </c>
      <c r="B338" s="3" t="s">
        <v>387</v>
      </c>
      <c r="C338" s="3" t="s">
        <v>320</v>
      </c>
      <c r="D338" s="3" t="s">
        <v>478</v>
      </c>
      <c r="E338" s="3" t="s">
        <v>479</v>
      </c>
      <c r="F338" s="3" t="s">
        <v>38</v>
      </c>
      <c r="G338" s="3" t="s">
        <v>480</v>
      </c>
      <c r="H338" s="3" t="s">
        <v>16</v>
      </c>
      <c r="I338" s="3" t="s">
        <v>481</v>
      </c>
    </row>
    <row r="339" spans="1:9">
      <c r="A339" s="3" t="s">
        <v>73</v>
      </c>
      <c r="B339" s="3" t="s">
        <v>482</v>
      </c>
      <c r="C339" s="3" t="s">
        <v>320</v>
      </c>
      <c r="D339" s="3" t="s">
        <v>483</v>
      </c>
      <c r="E339" s="3" t="s">
        <v>484</v>
      </c>
      <c r="F339" s="3" t="s">
        <v>38</v>
      </c>
      <c r="G339" s="3" t="s">
        <v>485</v>
      </c>
      <c r="H339" s="3" t="s">
        <v>16</v>
      </c>
      <c r="I339" s="3" t="s">
        <v>486</v>
      </c>
    </row>
    <row r="340" spans="1:9">
      <c r="A340" s="3" t="s">
        <v>73</v>
      </c>
      <c r="B340" s="3" t="s">
        <v>487</v>
      </c>
      <c r="C340" s="3" t="s">
        <v>320</v>
      </c>
      <c r="D340" s="3" t="s">
        <v>488</v>
      </c>
      <c r="E340" s="3" t="s">
        <v>489</v>
      </c>
      <c r="F340" s="3" t="s">
        <v>38</v>
      </c>
      <c r="G340" s="3" t="s">
        <v>490</v>
      </c>
      <c r="H340" s="3" t="s">
        <v>16</v>
      </c>
      <c r="I340" s="3" t="s">
        <v>491</v>
      </c>
    </row>
    <row r="341" spans="1:9">
      <c r="A341" s="3" t="s">
        <v>73</v>
      </c>
      <c r="B341" s="3" t="s">
        <v>341</v>
      </c>
      <c r="C341" s="3" t="s">
        <v>320</v>
      </c>
      <c r="D341" s="3" t="s">
        <v>496</v>
      </c>
      <c r="E341" s="3" t="s">
        <v>497</v>
      </c>
      <c r="F341" s="3" t="s">
        <v>38</v>
      </c>
      <c r="G341" s="3" t="s">
        <v>498</v>
      </c>
      <c r="H341" s="3" t="s">
        <v>16</v>
      </c>
      <c r="I341" s="3" t="s">
        <v>499</v>
      </c>
    </row>
    <row r="342" spans="1:9">
      <c r="A342" s="3" t="s">
        <v>73</v>
      </c>
      <c r="B342" s="3" t="s">
        <v>500</v>
      </c>
      <c r="C342" s="3" t="s">
        <v>320</v>
      </c>
      <c r="D342" s="3" t="s">
        <v>501</v>
      </c>
      <c r="E342" s="3" t="s">
        <v>502</v>
      </c>
      <c r="F342" s="3" t="s">
        <v>38</v>
      </c>
      <c r="G342" s="3" t="s">
        <v>472</v>
      </c>
      <c r="H342" s="3" t="s">
        <v>16</v>
      </c>
      <c r="I342" s="3" t="s">
        <v>503</v>
      </c>
    </row>
    <row r="343" spans="1:9">
      <c r="A343" s="3" t="s">
        <v>73</v>
      </c>
      <c r="B343" s="3" t="s">
        <v>504</v>
      </c>
      <c r="C343" s="3" t="s">
        <v>320</v>
      </c>
      <c r="D343" s="3" t="s">
        <v>271</v>
      </c>
      <c r="E343" s="3" t="s">
        <v>505</v>
      </c>
      <c r="F343" s="3" t="s">
        <v>38</v>
      </c>
      <c r="G343" s="3" t="s">
        <v>506</v>
      </c>
      <c r="H343" s="3" t="s">
        <v>16</v>
      </c>
      <c r="I343" s="3" t="s">
        <v>507</v>
      </c>
    </row>
    <row r="344" spans="1:9">
      <c r="A344" s="3" t="s">
        <v>73</v>
      </c>
      <c r="B344" s="3" t="s">
        <v>508</v>
      </c>
      <c r="C344" s="3" t="s">
        <v>320</v>
      </c>
      <c r="D344" s="3" t="s">
        <v>509</v>
      </c>
      <c r="E344" s="3" t="s">
        <v>510</v>
      </c>
      <c r="F344" s="3" t="s">
        <v>38</v>
      </c>
      <c r="G344" s="3" t="s">
        <v>511</v>
      </c>
      <c r="H344" s="3" t="s">
        <v>16</v>
      </c>
      <c r="I344" s="3" t="s">
        <v>512</v>
      </c>
    </row>
    <row r="345" spans="1:9">
      <c r="A345" s="3" t="s">
        <v>73</v>
      </c>
      <c r="B345" s="3" t="s">
        <v>397</v>
      </c>
      <c r="C345" s="3" t="s">
        <v>320</v>
      </c>
      <c r="D345" s="3" t="s">
        <v>513</v>
      </c>
      <c r="E345" s="3" t="s">
        <v>514</v>
      </c>
      <c r="F345" s="3" t="s">
        <v>38</v>
      </c>
      <c r="G345" s="3" t="s">
        <v>515</v>
      </c>
      <c r="H345" s="3" t="s">
        <v>16</v>
      </c>
      <c r="I345" s="3" t="s">
        <v>516</v>
      </c>
    </row>
    <row r="346" spans="1:9">
      <c r="A346" s="3" t="s">
        <v>73</v>
      </c>
      <c r="B346" s="3" t="s">
        <v>517</v>
      </c>
      <c r="C346" s="3" t="s">
        <v>320</v>
      </c>
      <c r="D346" s="3" t="s">
        <v>228</v>
      </c>
      <c r="E346" s="3" t="s">
        <v>518</v>
      </c>
      <c r="F346" s="3" t="s">
        <v>38</v>
      </c>
      <c r="G346" s="3" t="s">
        <v>519</v>
      </c>
      <c r="H346" s="3" t="s">
        <v>16</v>
      </c>
      <c r="I346" s="3" t="s">
        <v>520</v>
      </c>
    </row>
    <row r="347" spans="1:9">
      <c r="A347" s="3" t="s">
        <v>73</v>
      </c>
      <c r="B347" s="3" t="s">
        <v>521</v>
      </c>
      <c r="C347" s="3" t="s">
        <v>320</v>
      </c>
      <c r="D347" s="3" t="s">
        <v>522</v>
      </c>
      <c r="E347" s="3" t="s">
        <v>523</v>
      </c>
      <c r="F347" s="3" t="s">
        <v>38</v>
      </c>
      <c r="G347" s="3" t="s">
        <v>524</v>
      </c>
      <c r="H347" s="3" t="s">
        <v>16</v>
      </c>
      <c r="I347" s="3" t="s">
        <v>525</v>
      </c>
    </row>
    <row r="348" spans="1:9">
      <c r="A348" s="3" t="s">
        <v>73</v>
      </c>
      <c r="B348" s="3" t="s">
        <v>526</v>
      </c>
      <c r="C348" s="3" t="s">
        <v>320</v>
      </c>
      <c r="D348" s="3" t="s">
        <v>165</v>
      </c>
      <c r="E348" s="3" t="s">
        <v>527</v>
      </c>
      <c r="F348" s="3" t="s">
        <v>38</v>
      </c>
      <c r="G348" s="3" t="s">
        <v>528</v>
      </c>
      <c r="H348" s="3" t="s">
        <v>16</v>
      </c>
      <c r="I348" s="3" t="s">
        <v>529</v>
      </c>
    </row>
    <row r="349" spans="1:9">
      <c r="A349" s="3" t="s">
        <v>73</v>
      </c>
      <c r="B349" s="3" t="s">
        <v>351</v>
      </c>
      <c r="C349" s="3" t="s">
        <v>320</v>
      </c>
      <c r="D349" s="3" t="s">
        <v>530</v>
      </c>
      <c r="E349" s="3" t="s">
        <v>531</v>
      </c>
      <c r="F349" s="3" t="s">
        <v>38</v>
      </c>
      <c r="G349" s="3" t="s">
        <v>532</v>
      </c>
      <c r="H349" s="3" t="s">
        <v>16</v>
      </c>
      <c r="I349" s="3" t="s">
        <v>533</v>
      </c>
    </row>
    <row r="350" spans="1:9">
      <c r="A350" s="3" t="s">
        <v>73</v>
      </c>
      <c r="B350" s="3" t="s">
        <v>534</v>
      </c>
      <c r="C350" s="3" t="s">
        <v>320</v>
      </c>
      <c r="D350" s="3" t="s">
        <v>535</v>
      </c>
      <c r="E350" s="3" t="s">
        <v>536</v>
      </c>
      <c r="F350" s="3" t="s">
        <v>38</v>
      </c>
      <c r="G350" s="3" t="s">
        <v>537</v>
      </c>
      <c r="H350" s="3" t="s">
        <v>16</v>
      </c>
      <c r="I350" s="3" t="s">
        <v>538</v>
      </c>
    </row>
    <row r="351" spans="1:9">
      <c r="A351" s="3" t="s">
        <v>73</v>
      </c>
      <c r="B351" s="3" t="s">
        <v>543</v>
      </c>
      <c r="C351" s="3" t="s">
        <v>320</v>
      </c>
      <c r="D351" s="3" t="s">
        <v>99</v>
      </c>
      <c r="E351" s="3" t="s">
        <v>544</v>
      </c>
      <c r="F351" s="3" t="s">
        <v>38</v>
      </c>
      <c r="G351" s="3" t="s">
        <v>545</v>
      </c>
      <c r="H351" s="3" t="s">
        <v>16</v>
      </c>
      <c r="I351" s="3" t="s">
        <v>546</v>
      </c>
    </row>
    <row r="352" spans="1:9">
      <c r="A352" s="3" t="s">
        <v>73</v>
      </c>
      <c r="B352" s="3" t="s">
        <v>547</v>
      </c>
      <c r="C352" s="3" t="s">
        <v>320</v>
      </c>
      <c r="D352" s="3" t="s">
        <v>548</v>
      </c>
      <c r="E352" s="3" t="s">
        <v>549</v>
      </c>
      <c r="F352" s="3" t="s">
        <v>38</v>
      </c>
      <c r="G352" s="3" t="s">
        <v>550</v>
      </c>
      <c r="H352" s="3" t="s">
        <v>16</v>
      </c>
      <c r="I352" s="3" t="s">
        <v>551</v>
      </c>
    </row>
    <row r="353" spans="1:9">
      <c r="A353" s="3" t="s">
        <v>73</v>
      </c>
      <c r="B353" s="3" t="s">
        <v>552</v>
      </c>
      <c r="C353" s="3" t="s">
        <v>320</v>
      </c>
      <c r="D353" s="3" t="s">
        <v>553</v>
      </c>
      <c r="E353" s="3" t="s">
        <v>554</v>
      </c>
      <c r="F353" s="3" t="s">
        <v>38</v>
      </c>
      <c r="G353" s="3" t="s">
        <v>555</v>
      </c>
      <c r="H353" s="3" t="s">
        <v>16</v>
      </c>
      <c r="I353" s="3" t="s">
        <v>556</v>
      </c>
    </row>
    <row r="354" spans="1:9">
      <c r="A354" s="3" t="s">
        <v>73</v>
      </c>
      <c r="B354" s="3" t="s">
        <v>557</v>
      </c>
      <c r="C354" s="3" t="s">
        <v>320</v>
      </c>
      <c r="D354" s="3" t="s">
        <v>558</v>
      </c>
      <c r="E354" s="3" t="s">
        <v>559</v>
      </c>
      <c r="F354" s="3" t="s">
        <v>38</v>
      </c>
      <c r="G354" s="3" t="s">
        <v>560</v>
      </c>
      <c r="H354" s="3" t="s">
        <v>16</v>
      </c>
      <c r="I354" s="3" t="s">
        <v>561</v>
      </c>
    </row>
    <row r="355" spans="1:9">
      <c r="A355" s="3" t="s">
        <v>73</v>
      </c>
      <c r="B355" s="3" t="s">
        <v>562</v>
      </c>
      <c r="C355" s="3" t="s">
        <v>320</v>
      </c>
      <c r="D355" s="3" t="s">
        <v>563</v>
      </c>
      <c r="E355" s="3" t="s">
        <v>564</v>
      </c>
      <c r="F355" s="3" t="s">
        <v>38</v>
      </c>
      <c r="G355" s="3" t="s">
        <v>472</v>
      </c>
      <c r="H355" s="3" t="s">
        <v>16</v>
      </c>
      <c r="I355" s="3" t="s">
        <v>565</v>
      </c>
    </row>
    <row r="356" spans="1:9">
      <c r="A356" s="3" t="s">
        <v>73</v>
      </c>
      <c r="B356" s="3" t="s">
        <v>566</v>
      </c>
      <c r="C356" s="3" t="s">
        <v>320</v>
      </c>
      <c r="D356" s="3" t="s">
        <v>567</v>
      </c>
      <c r="E356" s="3" t="s">
        <v>568</v>
      </c>
      <c r="F356" s="3" t="s">
        <v>38</v>
      </c>
      <c r="G356" s="3" t="s">
        <v>569</v>
      </c>
      <c r="H356" s="3" t="s">
        <v>16</v>
      </c>
      <c r="I356" s="3" t="s">
        <v>570</v>
      </c>
    </row>
    <row r="357" spans="1:9">
      <c r="A357" s="3" t="s">
        <v>73</v>
      </c>
      <c r="B357" s="3" t="s">
        <v>571</v>
      </c>
      <c r="C357" s="3" t="s">
        <v>320</v>
      </c>
      <c r="D357" s="3" t="s">
        <v>336</v>
      </c>
      <c r="E357" s="3" t="s">
        <v>572</v>
      </c>
      <c r="F357" s="3" t="s">
        <v>38</v>
      </c>
      <c r="G357" s="3" t="s">
        <v>573</v>
      </c>
      <c r="H357" s="3" t="s">
        <v>323</v>
      </c>
      <c r="I357" s="3" t="s">
        <v>574</v>
      </c>
    </row>
    <row r="358" spans="1:9">
      <c r="A358" s="3" t="s">
        <v>73</v>
      </c>
      <c r="B358" s="3" t="s">
        <v>579</v>
      </c>
      <c r="C358" s="3" t="s">
        <v>320</v>
      </c>
      <c r="D358" s="3" t="s">
        <v>313</v>
      </c>
      <c r="E358" s="3" t="s">
        <v>580</v>
      </c>
      <c r="F358" s="3" t="s">
        <v>38</v>
      </c>
      <c r="G358" s="3" t="s">
        <v>581</v>
      </c>
      <c r="H358" s="3" t="s">
        <v>323</v>
      </c>
      <c r="I358" s="3" t="s">
        <v>582</v>
      </c>
    </row>
    <row r="359" spans="1:9">
      <c r="A359" s="3" t="s">
        <v>73</v>
      </c>
      <c r="B359" s="3" t="s">
        <v>587</v>
      </c>
      <c r="C359" s="3" t="s">
        <v>320</v>
      </c>
      <c r="D359" s="3" t="s">
        <v>588</v>
      </c>
      <c r="E359" s="3" t="s">
        <v>589</v>
      </c>
      <c r="F359" s="3" t="s">
        <v>38</v>
      </c>
      <c r="G359" s="3" t="s">
        <v>590</v>
      </c>
      <c r="H359" s="3" t="s">
        <v>323</v>
      </c>
      <c r="I359" s="3" t="s">
        <v>591</v>
      </c>
    </row>
    <row r="360" spans="1:9">
      <c r="A360" s="3" t="s">
        <v>73</v>
      </c>
      <c r="B360" s="3" t="s">
        <v>599</v>
      </c>
      <c r="C360" s="3" t="s">
        <v>320</v>
      </c>
      <c r="D360" s="3" t="s">
        <v>600</v>
      </c>
      <c r="E360" s="3" t="s">
        <v>601</v>
      </c>
      <c r="F360" s="3" t="s">
        <v>38</v>
      </c>
      <c r="G360" s="3" t="s">
        <v>602</v>
      </c>
      <c r="H360" s="3" t="s">
        <v>323</v>
      </c>
      <c r="I360" s="3" t="s">
        <v>603</v>
      </c>
    </row>
    <row r="361" spans="1:9">
      <c r="A361" s="3" t="s">
        <v>73</v>
      </c>
      <c r="B361" s="3" t="s">
        <v>604</v>
      </c>
      <c r="C361" s="3" t="s">
        <v>320</v>
      </c>
      <c r="D361" s="3" t="s">
        <v>605</v>
      </c>
      <c r="E361" s="3" t="s">
        <v>606</v>
      </c>
      <c r="F361" s="3" t="s">
        <v>38</v>
      </c>
      <c r="G361" s="3" t="s">
        <v>607</v>
      </c>
      <c r="H361" s="3" t="s">
        <v>323</v>
      </c>
      <c r="I361" s="3" t="s">
        <v>608</v>
      </c>
    </row>
    <row r="362" spans="1:9">
      <c r="A362" s="3" t="s">
        <v>73</v>
      </c>
      <c r="B362" s="3" t="s">
        <v>613</v>
      </c>
      <c r="C362" s="3" t="s">
        <v>320</v>
      </c>
      <c r="D362" s="3" t="s">
        <v>614</v>
      </c>
      <c r="E362" s="3" t="s">
        <v>615</v>
      </c>
      <c r="F362" s="3" t="s">
        <v>38</v>
      </c>
      <c r="G362" s="3" t="s">
        <v>264</v>
      </c>
      <c r="H362" s="3" t="s">
        <v>323</v>
      </c>
      <c r="I362" s="3" t="s">
        <v>616</v>
      </c>
    </row>
    <row r="363" spans="1:9">
      <c r="A363" s="3" t="s">
        <v>73</v>
      </c>
      <c r="B363" s="3" t="s">
        <v>625</v>
      </c>
      <c r="C363" s="3" t="s">
        <v>320</v>
      </c>
      <c r="D363" s="3" t="s">
        <v>99</v>
      </c>
      <c r="E363" s="3" t="s">
        <v>626</v>
      </c>
      <c r="F363" s="3" t="s">
        <v>38</v>
      </c>
      <c r="G363" s="3" t="s">
        <v>627</v>
      </c>
      <c r="H363" s="3" t="s">
        <v>323</v>
      </c>
      <c r="I363" s="3" t="s">
        <v>628</v>
      </c>
    </row>
    <row r="364" spans="1:9">
      <c r="A364" s="3" t="s">
        <v>73</v>
      </c>
      <c r="B364" s="3" t="s">
        <v>635</v>
      </c>
      <c r="C364" s="3" t="s">
        <v>320</v>
      </c>
      <c r="D364" s="3" t="s">
        <v>404</v>
      </c>
      <c r="E364" s="3" t="s">
        <v>636</v>
      </c>
      <c r="F364" s="3" t="s">
        <v>38</v>
      </c>
      <c r="G364" s="3" t="s">
        <v>637</v>
      </c>
      <c r="H364" s="3" t="s">
        <v>323</v>
      </c>
      <c r="I364" s="3" t="s">
        <v>638</v>
      </c>
    </row>
    <row r="365" spans="1:9">
      <c r="A365" s="3" t="s">
        <v>73</v>
      </c>
      <c r="B365" s="3" t="s">
        <v>639</v>
      </c>
      <c r="C365" s="3" t="s">
        <v>320</v>
      </c>
      <c r="D365" s="3" t="s">
        <v>640</v>
      </c>
      <c r="E365" s="3" t="s">
        <v>420</v>
      </c>
      <c r="F365" s="3" t="s">
        <v>38</v>
      </c>
      <c r="G365" s="3" t="s">
        <v>641</v>
      </c>
      <c r="H365" s="3" t="s">
        <v>323</v>
      </c>
      <c r="I365" s="3" t="s">
        <v>642</v>
      </c>
    </row>
    <row r="366" spans="1:9">
      <c r="A366" s="3" t="s">
        <v>73</v>
      </c>
      <c r="B366" s="3" t="s">
        <v>643</v>
      </c>
      <c r="C366" s="3" t="s">
        <v>320</v>
      </c>
      <c r="D366" s="3" t="s">
        <v>447</v>
      </c>
      <c r="E366" s="3" t="s">
        <v>644</v>
      </c>
      <c r="F366" s="3" t="s">
        <v>14</v>
      </c>
      <c r="G366" s="3" t="s">
        <v>645</v>
      </c>
      <c r="H366" s="3" t="s">
        <v>646</v>
      </c>
      <c r="I366" s="3" t="s">
        <v>647</v>
      </c>
    </row>
    <row r="367" spans="1:9">
      <c r="A367" s="3" t="s">
        <v>73</v>
      </c>
      <c r="B367" s="3" t="s">
        <v>648</v>
      </c>
      <c r="C367" s="3" t="s">
        <v>320</v>
      </c>
      <c r="D367" s="3" t="s">
        <v>649</v>
      </c>
      <c r="E367" s="3" t="s">
        <v>650</v>
      </c>
      <c r="F367" s="3" t="s">
        <v>217</v>
      </c>
      <c r="G367" s="3" t="s">
        <v>651</v>
      </c>
      <c r="H367" s="3" t="s">
        <v>16</v>
      </c>
      <c r="I367" s="3" t="s">
        <v>652</v>
      </c>
    </row>
    <row r="368" spans="1:9">
      <c r="A368" s="3" t="s">
        <v>73</v>
      </c>
      <c r="B368" s="3" t="s">
        <v>391</v>
      </c>
      <c r="C368" s="3" t="s">
        <v>320</v>
      </c>
      <c r="D368" s="3" t="s">
        <v>673</v>
      </c>
      <c r="E368" s="3" t="s">
        <v>548</v>
      </c>
      <c r="F368" s="3" t="s">
        <v>217</v>
      </c>
      <c r="G368" s="3" t="s">
        <v>674</v>
      </c>
      <c r="H368" s="3" t="s">
        <v>16</v>
      </c>
      <c r="I368" s="3" t="s">
        <v>675</v>
      </c>
    </row>
    <row r="369" spans="1:9">
      <c r="A369" s="3" t="s">
        <v>73</v>
      </c>
      <c r="B369" s="3" t="s">
        <v>676</v>
      </c>
      <c r="C369" s="3" t="s">
        <v>320</v>
      </c>
      <c r="D369" s="3" t="s">
        <v>677</v>
      </c>
      <c r="E369" s="3" t="s">
        <v>678</v>
      </c>
      <c r="F369" s="3" t="s">
        <v>14</v>
      </c>
      <c r="G369" s="3" t="s">
        <v>620</v>
      </c>
      <c r="H369" s="3" t="s">
        <v>16</v>
      </c>
      <c r="I369" s="3" t="s">
        <v>679</v>
      </c>
    </row>
    <row r="370" spans="1:9">
      <c r="A370" s="3" t="s">
        <v>73</v>
      </c>
      <c r="B370" s="3" t="s">
        <v>680</v>
      </c>
      <c r="C370" s="3" t="s">
        <v>320</v>
      </c>
      <c r="D370" s="3" t="s">
        <v>415</v>
      </c>
      <c r="E370" s="3" t="s">
        <v>681</v>
      </c>
      <c r="F370" s="3" t="s">
        <v>38</v>
      </c>
      <c r="G370" s="3" t="s">
        <v>682</v>
      </c>
      <c r="H370" s="3" t="s">
        <v>323</v>
      </c>
      <c r="I370" s="3" t="s">
        <v>683</v>
      </c>
    </row>
    <row r="371" spans="1:9">
      <c r="A371" s="3" t="s">
        <v>73</v>
      </c>
      <c r="B371" s="3" t="s">
        <v>325</v>
      </c>
      <c r="C371" s="3" t="s">
        <v>320</v>
      </c>
      <c r="D371" s="3" t="s">
        <v>271</v>
      </c>
      <c r="E371" s="3" t="s">
        <v>689</v>
      </c>
      <c r="F371" s="3" t="s">
        <v>217</v>
      </c>
      <c r="G371" s="3" t="s">
        <v>690</v>
      </c>
      <c r="H371" s="3" t="s">
        <v>16</v>
      </c>
      <c r="I371" s="3" t="s">
        <v>691</v>
      </c>
    </row>
    <row r="372" spans="1:9">
      <c r="A372" s="3" t="s">
        <v>73</v>
      </c>
      <c r="B372" s="3" t="s">
        <v>731</v>
      </c>
      <c r="C372" s="3" t="s">
        <v>320</v>
      </c>
      <c r="D372" s="3" t="s">
        <v>732</v>
      </c>
      <c r="E372" s="3" t="s">
        <v>733</v>
      </c>
      <c r="F372" s="3" t="s">
        <v>38</v>
      </c>
      <c r="G372" s="3" t="s">
        <v>734</v>
      </c>
      <c r="H372" s="3" t="s">
        <v>16</v>
      </c>
      <c r="I372" s="3" t="s">
        <v>735</v>
      </c>
    </row>
    <row r="373" spans="1:9">
      <c r="A373" s="3" t="s">
        <v>73</v>
      </c>
      <c r="B373" s="3" t="s">
        <v>731</v>
      </c>
      <c r="C373" s="3" t="s">
        <v>320</v>
      </c>
      <c r="D373" s="3" t="s">
        <v>736</v>
      </c>
      <c r="E373" s="3" t="s">
        <v>737</v>
      </c>
      <c r="F373" s="3" t="s">
        <v>38</v>
      </c>
      <c r="G373" s="3" t="s">
        <v>738</v>
      </c>
      <c r="H373" s="3" t="s">
        <v>16</v>
      </c>
      <c r="I373" s="3" t="s">
        <v>739</v>
      </c>
    </row>
    <row r="374" spans="1:9">
      <c r="A374" s="3" t="s">
        <v>73</v>
      </c>
      <c r="B374" s="3" t="s">
        <v>731</v>
      </c>
      <c r="C374" s="3" t="s">
        <v>320</v>
      </c>
      <c r="D374" s="3" t="s">
        <v>740</v>
      </c>
      <c r="E374" s="3" t="s">
        <v>741</v>
      </c>
      <c r="F374" s="3" t="s">
        <v>38</v>
      </c>
      <c r="G374" s="3" t="s">
        <v>742</v>
      </c>
      <c r="H374" s="3" t="s">
        <v>16</v>
      </c>
      <c r="I374" s="3" t="s">
        <v>743</v>
      </c>
    </row>
    <row r="375" spans="1:9">
      <c r="A375" s="3" t="s">
        <v>73</v>
      </c>
      <c r="B375" s="3" t="s">
        <v>676</v>
      </c>
      <c r="C375" s="3" t="s">
        <v>320</v>
      </c>
      <c r="D375" s="3"/>
      <c r="E375" s="3" t="s">
        <v>744</v>
      </c>
      <c r="F375" s="3" t="s">
        <v>38</v>
      </c>
      <c r="G375" s="3" t="s">
        <v>620</v>
      </c>
      <c r="H375" s="3" t="s">
        <v>16</v>
      </c>
      <c r="I375" s="3" t="s">
        <v>745</v>
      </c>
    </row>
    <row r="376" spans="1:9">
      <c r="A376" s="3" t="s">
        <v>73</v>
      </c>
      <c r="B376" s="3" t="s">
        <v>639</v>
      </c>
      <c r="C376" s="3" t="s">
        <v>320</v>
      </c>
      <c r="D376" s="3" t="s">
        <v>751</v>
      </c>
      <c r="E376" s="3" t="s">
        <v>752</v>
      </c>
      <c r="F376" s="3" t="s">
        <v>38</v>
      </c>
      <c r="G376" s="3" t="s">
        <v>620</v>
      </c>
      <c r="H376" s="3" t="s">
        <v>16</v>
      </c>
      <c r="I376" s="3" t="s">
        <v>753</v>
      </c>
    </row>
    <row r="377" spans="1:9">
      <c r="A377" s="3" t="s">
        <v>73</v>
      </c>
      <c r="B377" s="3" t="s">
        <v>397</v>
      </c>
      <c r="C377" s="3" t="s">
        <v>320</v>
      </c>
      <c r="D377" s="3" t="s">
        <v>239</v>
      </c>
      <c r="E377" s="3" t="s">
        <v>754</v>
      </c>
      <c r="F377" s="3" t="s">
        <v>38</v>
      </c>
      <c r="G377" s="3" t="s">
        <v>755</v>
      </c>
      <c r="H377" s="3" t="s">
        <v>16</v>
      </c>
      <c r="I377" s="3" t="s">
        <v>756</v>
      </c>
    </row>
    <row r="378" spans="1:9">
      <c r="A378" s="3" t="s">
        <v>73</v>
      </c>
      <c r="B378" s="3" t="s">
        <v>757</v>
      </c>
      <c r="C378" s="3" t="s">
        <v>320</v>
      </c>
      <c r="D378" s="3" t="s">
        <v>509</v>
      </c>
      <c r="E378" s="3" t="s">
        <v>758</v>
      </c>
      <c r="F378" s="3" t="s">
        <v>38</v>
      </c>
      <c r="G378" s="3" t="s">
        <v>385</v>
      </c>
      <c r="H378" s="3" t="s">
        <v>16</v>
      </c>
      <c r="I378" s="3" t="s">
        <v>759</v>
      </c>
    </row>
    <row r="379" spans="1:9">
      <c r="A379" s="3" t="s">
        <v>73</v>
      </c>
      <c r="B379" s="3" t="s">
        <v>760</v>
      </c>
      <c r="C379" s="3" t="s">
        <v>320</v>
      </c>
      <c r="D379" s="3" t="s">
        <v>282</v>
      </c>
      <c r="E379" s="3" t="s">
        <v>761</v>
      </c>
      <c r="F379" s="3" t="s">
        <v>38</v>
      </c>
      <c r="G379" s="3" t="s">
        <v>422</v>
      </c>
      <c r="H379" s="3" t="s">
        <v>16</v>
      </c>
      <c r="I379" s="3" t="s">
        <v>762</v>
      </c>
    </row>
    <row r="380" spans="1:9">
      <c r="A380" s="3" t="s">
        <v>73</v>
      </c>
      <c r="B380" s="3" t="s">
        <v>760</v>
      </c>
      <c r="C380" s="3" t="s">
        <v>320</v>
      </c>
      <c r="D380" s="3" t="s">
        <v>358</v>
      </c>
      <c r="E380" s="3" t="s">
        <v>763</v>
      </c>
      <c r="F380" s="3" t="s">
        <v>38</v>
      </c>
      <c r="G380" s="3" t="s">
        <v>764</v>
      </c>
      <c r="H380" s="3" t="s">
        <v>16</v>
      </c>
      <c r="I380" s="3" t="s">
        <v>765</v>
      </c>
    </row>
    <row r="381" spans="1:9">
      <c r="A381" s="3" t="s">
        <v>73</v>
      </c>
      <c r="B381" s="3" t="s">
        <v>566</v>
      </c>
      <c r="C381" s="3" t="s">
        <v>320</v>
      </c>
      <c r="D381" s="3" t="s">
        <v>125</v>
      </c>
      <c r="E381" s="3" t="s">
        <v>766</v>
      </c>
      <c r="F381" s="3" t="s">
        <v>38</v>
      </c>
      <c r="G381" s="3" t="s">
        <v>767</v>
      </c>
      <c r="H381" s="3" t="s">
        <v>16</v>
      </c>
      <c r="I381" s="3" t="s">
        <v>768</v>
      </c>
    </row>
    <row r="382" spans="1:9">
      <c r="A382" s="3" t="s">
        <v>73</v>
      </c>
      <c r="B382" s="3" t="s">
        <v>566</v>
      </c>
      <c r="C382" s="3" t="s">
        <v>320</v>
      </c>
      <c r="D382" s="3" t="s">
        <v>125</v>
      </c>
      <c r="E382" s="3" t="s">
        <v>769</v>
      </c>
      <c r="F382" s="3" t="s">
        <v>38</v>
      </c>
      <c r="G382" s="3" t="s">
        <v>770</v>
      </c>
      <c r="H382" s="3" t="s">
        <v>16</v>
      </c>
      <c r="I382" s="3" t="s">
        <v>771</v>
      </c>
    </row>
    <row r="383" spans="1:9">
      <c r="A383" s="3" t="s">
        <v>73</v>
      </c>
      <c r="B383" s="3" t="s">
        <v>566</v>
      </c>
      <c r="C383" s="3" t="s">
        <v>320</v>
      </c>
      <c r="D383" s="3" t="s">
        <v>142</v>
      </c>
      <c r="E383" s="3" t="s">
        <v>772</v>
      </c>
      <c r="F383" s="3" t="s">
        <v>38</v>
      </c>
      <c r="G383" s="3" t="s">
        <v>773</v>
      </c>
      <c r="H383" s="3" t="s">
        <v>16</v>
      </c>
      <c r="I383" s="3" t="s">
        <v>774</v>
      </c>
    </row>
    <row r="384" spans="1:9">
      <c r="A384" s="3" t="s">
        <v>73</v>
      </c>
      <c r="B384" s="3" t="s">
        <v>566</v>
      </c>
      <c r="C384" s="3" t="s">
        <v>320</v>
      </c>
      <c r="D384" s="3" t="s">
        <v>415</v>
      </c>
      <c r="E384" s="3" t="s">
        <v>775</v>
      </c>
      <c r="F384" s="3" t="s">
        <v>38</v>
      </c>
      <c r="G384" s="3" t="s">
        <v>776</v>
      </c>
      <c r="H384" s="3" t="s">
        <v>16</v>
      </c>
      <c r="I384" s="3" t="s">
        <v>777</v>
      </c>
    </row>
    <row r="385" spans="1:9">
      <c r="A385" s="3" t="s">
        <v>73</v>
      </c>
      <c r="B385" s="3" t="s">
        <v>778</v>
      </c>
      <c r="C385" s="3" t="s">
        <v>320</v>
      </c>
      <c r="D385" s="3" t="s">
        <v>509</v>
      </c>
      <c r="E385" s="3" t="s">
        <v>779</v>
      </c>
      <c r="F385" s="3" t="s">
        <v>38</v>
      </c>
      <c r="G385" s="3" t="s">
        <v>365</v>
      </c>
      <c r="H385" s="3" t="s">
        <v>16</v>
      </c>
      <c r="I385" s="3" t="s">
        <v>780</v>
      </c>
    </row>
    <row r="386" spans="1:9">
      <c r="A386" s="3" t="s">
        <v>73</v>
      </c>
      <c r="B386" s="3" t="s">
        <v>778</v>
      </c>
      <c r="C386" s="3" t="s">
        <v>320</v>
      </c>
      <c r="D386" s="3" t="s">
        <v>781</v>
      </c>
      <c r="E386" s="3" t="s">
        <v>782</v>
      </c>
      <c r="F386" s="3" t="s">
        <v>38</v>
      </c>
      <c r="G386" s="3" t="s">
        <v>783</v>
      </c>
      <c r="H386" s="3" t="s">
        <v>16</v>
      </c>
      <c r="I386" s="3" t="s">
        <v>784</v>
      </c>
    </row>
    <row r="387" spans="1:9">
      <c r="A387" s="3" t="s">
        <v>73</v>
      </c>
      <c r="B387" s="3" t="s">
        <v>778</v>
      </c>
      <c r="C387" s="3" t="s">
        <v>320</v>
      </c>
      <c r="D387" s="3" t="s">
        <v>103</v>
      </c>
      <c r="E387" s="3" t="s">
        <v>785</v>
      </c>
      <c r="F387" s="3" t="s">
        <v>38</v>
      </c>
      <c r="G387" s="3" t="s">
        <v>786</v>
      </c>
      <c r="H387" s="3" t="s">
        <v>16</v>
      </c>
      <c r="I387" s="3" t="s">
        <v>787</v>
      </c>
    </row>
    <row r="388" spans="1:9">
      <c r="A388" s="3" t="s">
        <v>73</v>
      </c>
      <c r="B388" s="3" t="s">
        <v>731</v>
      </c>
      <c r="C388" s="3" t="s">
        <v>320</v>
      </c>
      <c r="D388" s="3" t="s">
        <v>321</v>
      </c>
      <c r="E388" s="3" t="s">
        <v>788</v>
      </c>
      <c r="F388" s="3" t="s">
        <v>38</v>
      </c>
      <c r="G388" s="3" t="s">
        <v>385</v>
      </c>
      <c r="H388" s="3" t="s">
        <v>16</v>
      </c>
      <c r="I388" s="3" t="s">
        <v>789</v>
      </c>
    </row>
    <row r="389" spans="1:9">
      <c r="A389" s="3" t="s">
        <v>73</v>
      </c>
      <c r="B389" s="3" t="s">
        <v>335</v>
      </c>
      <c r="C389" s="3" t="s">
        <v>320</v>
      </c>
      <c r="D389" s="3" t="s">
        <v>228</v>
      </c>
      <c r="E389" s="3" t="s">
        <v>359</v>
      </c>
      <c r="F389" s="3" t="s">
        <v>38</v>
      </c>
      <c r="G389" s="3" t="s">
        <v>800</v>
      </c>
      <c r="H389" s="3" t="s">
        <v>16</v>
      </c>
      <c r="I389" s="3" t="s">
        <v>801</v>
      </c>
    </row>
    <row r="390" spans="1:9">
      <c r="A390" s="3" t="s">
        <v>73</v>
      </c>
      <c r="B390" s="3" t="s">
        <v>335</v>
      </c>
      <c r="C390" s="3" t="s">
        <v>320</v>
      </c>
      <c r="D390" s="3" t="s">
        <v>420</v>
      </c>
      <c r="E390" s="3" t="s">
        <v>664</v>
      </c>
      <c r="F390" s="3" t="s">
        <v>38</v>
      </c>
      <c r="G390" s="3" t="s">
        <v>802</v>
      </c>
      <c r="H390" s="3" t="s">
        <v>16</v>
      </c>
      <c r="I390" s="3" t="s">
        <v>803</v>
      </c>
    </row>
    <row r="391" spans="1:9">
      <c r="A391" s="3" t="s">
        <v>73</v>
      </c>
      <c r="B391" s="3" t="s">
        <v>836</v>
      </c>
      <c r="C391" s="3" t="s">
        <v>320</v>
      </c>
      <c r="D391" s="3" t="s">
        <v>837</v>
      </c>
      <c r="E391" s="3" t="s">
        <v>838</v>
      </c>
      <c r="F391" s="3" t="s">
        <v>38</v>
      </c>
      <c r="G391" s="3" t="s">
        <v>839</v>
      </c>
      <c r="H391" s="3" t="s">
        <v>16</v>
      </c>
      <c r="I391" s="3" t="s">
        <v>840</v>
      </c>
    </row>
    <row r="392" spans="1:9">
      <c r="A392" s="3" t="s">
        <v>73</v>
      </c>
      <c r="B392" s="3" t="s">
        <v>841</v>
      </c>
      <c r="C392" s="3" t="s">
        <v>320</v>
      </c>
      <c r="D392" s="3" t="s">
        <v>358</v>
      </c>
      <c r="E392" s="3" t="s">
        <v>842</v>
      </c>
      <c r="F392" s="3" t="s">
        <v>38</v>
      </c>
      <c r="G392" s="3" t="s">
        <v>819</v>
      </c>
      <c r="H392" s="3" t="s">
        <v>16</v>
      </c>
      <c r="I392" s="3" t="s">
        <v>843</v>
      </c>
    </row>
    <row r="393" spans="1:9">
      <c r="A393" s="3" t="s">
        <v>73</v>
      </c>
      <c r="B393" s="3" t="s">
        <v>680</v>
      </c>
      <c r="C393" s="3" t="s">
        <v>320</v>
      </c>
      <c r="D393" s="3" t="s">
        <v>271</v>
      </c>
      <c r="E393" s="3" t="s">
        <v>889</v>
      </c>
      <c r="F393" s="3" t="s">
        <v>38</v>
      </c>
      <c r="G393" s="3" t="s">
        <v>890</v>
      </c>
      <c r="H393" s="3" t="s">
        <v>16</v>
      </c>
      <c r="I393" s="3" t="s">
        <v>891</v>
      </c>
    </row>
    <row r="394" spans="1:9">
      <c r="A394" s="3" t="s">
        <v>73</v>
      </c>
      <c r="B394" s="3" t="s">
        <v>680</v>
      </c>
      <c r="C394" s="3" t="s">
        <v>320</v>
      </c>
      <c r="D394" s="3" t="s">
        <v>553</v>
      </c>
      <c r="E394" s="3" t="s">
        <v>892</v>
      </c>
      <c r="F394" s="3" t="s">
        <v>38</v>
      </c>
      <c r="G394" s="3" t="s">
        <v>602</v>
      </c>
      <c r="H394" s="3" t="s">
        <v>16</v>
      </c>
      <c r="I394" s="3" t="s">
        <v>893</v>
      </c>
    </row>
    <row r="395" spans="1:9">
      <c r="A395" s="3" t="s">
        <v>73</v>
      </c>
      <c r="B395" s="3" t="s">
        <v>680</v>
      </c>
      <c r="C395" s="3" t="s">
        <v>320</v>
      </c>
      <c r="D395" s="3" t="s">
        <v>271</v>
      </c>
      <c r="E395" s="3" t="s">
        <v>894</v>
      </c>
      <c r="F395" s="3" t="s">
        <v>38</v>
      </c>
      <c r="G395" s="3"/>
      <c r="H395" s="3" t="s">
        <v>16</v>
      </c>
      <c r="I395" s="3" t="s">
        <v>895</v>
      </c>
    </row>
    <row r="396" spans="1:9">
      <c r="A396" s="3" t="s">
        <v>73</v>
      </c>
      <c r="B396" s="3" t="s">
        <v>374</v>
      </c>
      <c r="C396" s="3" t="s">
        <v>320</v>
      </c>
      <c r="D396" s="3" t="s">
        <v>605</v>
      </c>
      <c r="E396" s="3" t="s">
        <v>896</v>
      </c>
      <c r="F396" s="3" t="s">
        <v>38</v>
      </c>
      <c r="G396" s="3" t="s">
        <v>897</v>
      </c>
      <c r="H396" s="3" t="s">
        <v>16</v>
      </c>
      <c r="I396" s="3" t="s">
        <v>898</v>
      </c>
    </row>
    <row r="397" spans="1:9">
      <c r="A397" s="3" t="s">
        <v>73</v>
      </c>
      <c r="B397" s="3" t="s">
        <v>931</v>
      </c>
      <c r="C397" s="3" t="s">
        <v>900</v>
      </c>
      <c r="D397" s="3" t="s">
        <v>239</v>
      </c>
      <c r="E397" s="3" t="s">
        <v>548</v>
      </c>
      <c r="F397" s="3" t="s">
        <v>38</v>
      </c>
      <c r="G397" s="3"/>
      <c r="H397" s="3" t="s">
        <v>323</v>
      </c>
      <c r="I397" s="3" t="s">
        <v>932</v>
      </c>
    </row>
    <row r="398" spans="1:9">
      <c r="A398" s="3" t="s">
        <v>73</v>
      </c>
      <c r="B398" s="3" t="s">
        <v>936</v>
      </c>
      <c r="C398" s="3" t="s">
        <v>900</v>
      </c>
      <c r="D398" s="3" t="s">
        <v>631</v>
      </c>
      <c r="E398" s="3" t="s">
        <v>548</v>
      </c>
      <c r="F398" s="3" t="s">
        <v>38</v>
      </c>
      <c r="G398" s="3"/>
      <c r="H398" s="3" t="s">
        <v>323</v>
      </c>
      <c r="I398" s="3" t="s">
        <v>937</v>
      </c>
    </row>
    <row r="399" spans="1:9">
      <c r="A399" s="3" t="s">
        <v>73</v>
      </c>
      <c r="B399" s="3" t="s">
        <v>936</v>
      </c>
      <c r="C399" s="3" t="s">
        <v>900</v>
      </c>
      <c r="D399" s="3" t="s">
        <v>1216</v>
      </c>
      <c r="E399" s="3" t="s">
        <v>1217</v>
      </c>
      <c r="F399" s="3" t="s">
        <v>38</v>
      </c>
      <c r="G399" s="3" t="s">
        <v>602</v>
      </c>
      <c r="H399" s="3" t="s">
        <v>323</v>
      </c>
      <c r="I399" s="3" t="s">
        <v>1218</v>
      </c>
    </row>
    <row r="400" spans="1:9">
      <c r="A400" s="3" t="s">
        <v>73</v>
      </c>
      <c r="B400" s="3" t="s">
        <v>1231</v>
      </c>
      <c r="C400" s="3" t="s">
        <v>900</v>
      </c>
      <c r="D400" s="3" t="s">
        <v>41</v>
      </c>
      <c r="E400" s="3" t="s">
        <v>1232</v>
      </c>
      <c r="F400" s="3" t="s">
        <v>38</v>
      </c>
      <c r="G400" s="3" t="s">
        <v>1233</v>
      </c>
      <c r="H400" s="3" t="s">
        <v>16</v>
      </c>
      <c r="I400" s="3" t="s">
        <v>1234</v>
      </c>
    </row>
    <row r="401" spans="1:9">
      <c r="A401" s="3" t="s">
        <v>73</v>
      </c>
      <c r="B401" s="3" t="s">
        <v>1285</v>
      </c>
      <c r="C401" s="3" t="s">
        <v>900</v>
      </c>
      <c r="D401" s="3" t="s">
        <v>1286</v>
      </c>
      <c r="E401" s="3" t="s">
        <v>1287</v>
      </c>
      <c r="F401" s="3" t="s">
        <v>217</v>
      </c>
      <c r="G401" s="3" t="s">
        <v>1288</v>
      </c>
      <c r="H401" s="3" t="s">
        <v>323</v>
      </c>
      <c r="I401" s="3" t="s">
        <v>1289</v>
      </c>
    </row>
    <row r="402" spans="1:9">
      <c r="A402" s="3" t="s">
        <v>73</v>
      </c>
      <c r="B402" s="3" t="s">
        <v>1587</v>
      </c>
      <c r="C402" s="3" t="s">
        <v>1588</v>
      </c>
      <c r="D402" s="3" t="s">
        <v>239</v>
      </c>
      <c r="E402" s="3" t="s">
        <v>1589</v>
      </c>
      <c r="F402" s="3" t="s">
        <v>38</v>
      </c>
      <c r="G402" s="3"/>
      <c r="H402" s="3" t="s">
        <v>323</v>
      </c>
      <c r="I402" s="3" t="s">
        <v>1590</v>
      </c>
    </row>
    <row r="403" spans="1:9">
      <c r="A403" s="3" t="s">
        <v>73</v>
      </c>
      <c r="B403" s="3" t="s">
        <v>1591</v>
      </c>
      <c r="C403" s="3" t="s">
        <v>1588</v>
      </c>
      <c r="D403" s="3" t="s">
        <v>1361</v>
      </c>
      <c r="E403" s="3" t="s">
        <v>1592</v>
      </c>
      <c r="F403" s="3" t="s">
        <v>38</v>
      </c>
      <c r="G403" s="3" t="s">
        <v>433</v>
      </c>
      <c r="H403" s="3" t="s">
        <v>323</v>
      </c>
      <c r="I403" s="3" t="s">
        <v>1593</v>
      </c>
    </row>
    <row r="404" spans="1:9">
      <c r="A404" s="3" t="s">
        <v>73</v>
      </c>
      <c r="B404" s="3" t="s">
        <v>1591</v>
      </c>
      <c r="C404" s="3" t="s">
        <v>1588</v>
      </c>
      <c r="D404" s="3" t="s">
        <v>1594</v>
      </c>
      <c r="E404" s="3" t="s">
        <v>655</v>
      </c>
      <c r="F404" s="3" t="s">
        <v>38</v>
      </c>
      <c r="G404" s="3"/>
      <c r="H404" s="3" t="s">
        <v>323</v>
      </c>
      <c r="I404" s="3" t="s">
        <v>1595</v>
      </c>
    </row>
    <row r="405" spans="1:9">
      <c r="A405" s="3" t="s">
        <v>73</v>
      </c>
      <c r="B405" s="3" t="s">
        <v>1646</v>
      </c>
      <c r="C405" s="3" t="s">
        <v>1588</v>
      </c>
      <c r="D405" s="3" t="s">
        <v>411</v>
      </c>
      <c r="E405" s="3" t="s">
        <v>1647</v>
      </c>
      <c r="F405" s="3" t="s">
        <v>225</v>
      </c>
      <c r="G405" s="3" t="s">
        <v>1648</v>
      </c>
      <c r="H405" s="3" t="s">
        <v>16</v>
      </c>
      <c r="I405" s="3" t="s">
        <v>1649</v>
      </c>
    </row>
    <row r="406" spans="1:9">
      <c r="A406" s="3" t="s">
        <v>73</v>
      </c>
      <c r="B406" s="3" t="s">
        <v>1646</v>
      </c>
      <c r="C406" s="3" t="s">
        <v>1588</v>
      </c>
      <c r="D406" s="3" t="s">
        <v>313</v>
      </c>
      <c r="E406" s="3" t="s">
        <v>1823</v>
      </c>
      <c r="F406" s="3" t="s">
        <v>225</v>
      </c>
      <c r="G406" s="3" t="s">
        <v>1824</v>
      </c>
      <c r="H406" s="3" t="s">
        <v>16</v>
      </c>
      <c r="I406" s="3" t="s">
        <v>1825</v>
      </c>
    </row>
    <row r="407" spans="1:9">
      <c r="A407" s="3" t="s">
        <v>73</v>
      </c>
      <c r="B407" s="3" t="s">
        <v>2156</v>
      </c>
      <c r="C407" s="3" t="s">
        <v>2157</v>
      </c>
      <c r="D407" s="3" t="s">
        <v>239</v>
      </c>
      <c r="E407" s="3" t="s">
        <v>2158</v>
      </c>
      <c r="F407" s="3" t="s">
        <v>217</v>
      </c>
      <c r="G407" s="3"/>
      <c r="H407" s="3" t="s">
        <v>323</v>
      </c>
      <c r="I407" s="3" t="s">
        <v>2159</v>
      </c>
    </row>
    <row r="408" spans="1:9">
      <c r="A408" s="3" t="s">
        <v>73</v>
      </c>
      <c r="B408" s="3" t="s">
        <v>2163</v>
      </c>
      <c r="C408" s="3" t="s">
        <v>2157</v>
      </c>
      <c r="D408" s="3" t="s">
        <v>1899</v>
      </c>
      <c r="E408" s="3" t="s">
        <v>2164</v>
      </c>
      <c r="F408" s="3" t="s">
        <v>217</v>
      </c>
      <c r="G408" s="3"/>
      <c r="H408" s="3" t="s">
        <v>323</v>
      </c>
      <c r="I408" s="3" t="s">
        <v>2165</v>
      </c>
    </row>
    <row r="409" spans="1:9">
      <c r="A409" s="3" t="s">
        <v>73</v>
      </c>
      <c r="B409" s="3" t="s">
        <v>2163</v>
      </c>
      <c r="C409" s="3" t="s">
        <v>2157</v>
      </c>
      <c r="D409" s="3" t="s">
        <v>328</v>
      </c>
      <c r="E409" s="3" t="s">
        <v>2166</v>
      </c>
      <c r="F409" s="3" t="s">
        <v>217</v>
      </c>
      <c r="G409" s="3"/>
      <c r="H409" s="3" t="s">
        <v>323</v>
      </c>
      <c r="I409" s="3" t="s">
        <v>2167</v>
      </c>
    </row>
    <row r="410" spans="1:9">
      <c r="A410" s="3" t="s">
        <v>73</v>
      </c>
      <c r="B410" s="3" t="s">
        <v>2163</v>
      </c>
      <c r="C410" s="3" t="s">
        <v>2157</v>
      </c>
      <c r="D410" s="3" t="s">
        <v>219</v>
      </c>
      <c r="E410" s="3" t="s">
        <v>2168</v>
      </c>
      <c r="F410" s="3" t="s">
        <v>38</v>
      </c>
      <c r="G410" s="3" t="s">
        <v>385</v>
      </c>
      <c r="H410" s="3" t="s">
        <v>323</v>
      </c>
      <c r="I410" s="3" t="s">
        <v>2169</v>
      </c>
    </row>
    <row r="411" spans="1:9">
      <c r="A411" s="3" t="s">
        <v>73</v>
      </c>
      <c r="B411" s="3" t="s">
        <v>2204</v>
      </c>
      <c r="C411" s="3" t="s">
        <v>2157</v>
      </c>
      <c r="D411" s="3" t="s">
        <v>286</v>
      </c>
      <c r="E411" s="3" t="s">
        <v>2205</v>
      </c>
      <c r="F411" s="3" t="s">
        <v>217</v>
      </c>
      <c r="G411" s="3" t="s">
        <v>2206</v>
      </c>
      <c r="H411" s="3" t="s">
        <v>323</v>
      </c>
      <c r="I411" s="3" t="s">
        <v>2207</v>
      </c>
    </row>
    <row r="412" spans="1:9">
      <c r="A412" s="3" t="s">
        <v>73</v>
      </c>
      <c r="B412" s="3" t="s">
        <v>2348</v>
      </c>
      <c r="C412" s="3" t="s">
        <v>2157</v>
      </c>
      <c r="D412" s="3" t="s">
        <v>411</v>
      </c>
      <c r="E412" s="3" t="s">
        <v>2349</v>
      </c>
      <c r="F412" s="3" t="s">
        <v>217</v>
      </c>
      <c r="G412" s="3" t="s">
        <v>511</v>
      </c>
      <c r="H412" s="3" t="s">
        <v>16</v>
      </c>
      <c r="I412" s="3" t="s">
        <v>2350</v>
      </c>
    </row>
    <row r="413" spans="1:9">
      <c r="A413" s="3" t="s">
        <v>73</v>
      </c>
      <c r="B413" s="3" t="s">
        <v>2163</v>
      </c>
      <c r="C413" s="3" t="s">
        <v>2157</v>
      </c>
      <c r="D413" s="3" t="s">
        <v>99</v>
      </c>
      <c r="E413" s="3" t="s">
        <v>2351</v>
      </c>
      <c r="F413" s="3" t="s">
        <v>217</v>
      </c>
      <c r="G413" s="3" t="s">
        <v>2352</v>
      </c>
      <c r="H413" s="3" t="s">
        <v>16</v>
      </c>
      <c r="I413" s="3" t="s">
        <v>2353</v>
      </c>
    </row>
    <row r="414" spans="1:9">
      <c r="A414" s="3" t="s">
        <v>73</v>
      </c>
      <c r="B414" s="3" t="s">
        <v>2354</v>
      </c>
      <c r="C414" s="3" t="s">
        <v>2157</v>
      </c>
      <c r="D414" s="3" t="s">
        <v>1724</v>
      </c>
      <c r="E414" s="3" t="s">
        <v>1124</v>
      </c>
      <c r="F414" s="3" t="s">
        <v>38</v>
      </c>
      <c r="G414" s="3" t="s">
        <v>2355</v>
      </c>
      <c r="H414" s="3" t="s">
        <v>16</v>
      </c>
      <c r="I414" s="3" t="s">
        <v>2356</v>
      </c>
    </row>
    <row r="415" spans="1:9">
      <c r="A415" s="3" t="s">
        <v>73</v>
      </c>
      <c r="B415" s="3" t="s">
        <v>2357</v>
      </c>
      <c r="C415" s="3" t="s">
        <v>2157</v>
      </c>
      <c r="D415" s="3" t="s">
        <v>358</v>
      </c>
      <c r="E415" s="3" t="s">
        <v>2358</v>
      </c>
      <c r="F415" s="3" t="s">
        <v>217</v>
      </c>
      <c r="G415" s="3" t="s">
        <v>1313</v>
      </c>
      <c r="H415" s="3" t="s">
        <v>16</v>
      </c>
      <c r="I415" s="3" t="s">
        <v>2359</v>
      </c>
    </row>
    <row r="416" spans="1:9">
      <c r="A416" s="3" t="s">
        <v>73</v>
      </c>
      <c r="B416" s="3" t="s">
        <v>2204</v>
      </c>
      <c r="C416" s="3" t="s">
        <v>2157</v>
      </c>
      <c r="D416" s="3" t="s">
        <v>509</v>
      </c>
      <c r="E416" s="3" t="s">
        <v>2360</v>
      </c>
      <c r="F416" s="3" t="s">
        <v>217</v>
      </c>
      <c r="G416" s="3" t="s">
        <v>2361</v>
      </c>
      <c r="H416" s="3" t="s">
        <v>16</v>
      </c>
      <c r="I416" s="3" t="s">
        <v>2362</v>
      </c>
    </row>
    <row r="417" spans="1:9">
      <c r="A417" s="3" t="s">
        <v>73</v>
      </c>
      <c r="B417" s="3" t="s">
        <v>74</v>
      </c>
      <c r="C417" s="3" t="s">
        <v>2157</v>
      </c>
      <c r="D417" s="3" t="s">
        <v>2374</v>
      </c>
      <c r="E417" s="3" t="s">
        <v>2375</v>
      </c>
      <c r="F417" s="3" t="s">
        <v>38</v>
      </c>
      <c r="G417" s="3" t="s">
        <v>2376</v>
      </c>
      <c r="H417" s="3" t="s">
        <v>16</v>
      </c>
      <c r="I417" s="3" t="s">
        <v>2377</v>
      </c>
    </row>
    <row r="418" spans="1:9">
      <c r="A418" s="3" t="s">
        <v>73</v>
      </c>
      <c r="B418" s="3" t="s">
        <v>2204</v>
      </c>
      <c r="C418" s="3" t="s">
        <v>2157</v>
      </c>
      <c r="D418" s="3" t="s">
        <v>2392</v>
      </c>
      <c r="E418" s="3" t="s">
        <v>2393</v>
      </c>
      <c r="F418" s="3" t="s">
        <v>38</v>
      </c>
      <c r="G418" s="3"/>
      <c r="H418" s="3" t="s">
        <v>16</v>
      </c>
      <c r="I418" s="3" t="s">
        <v>2394</v>
      </c>
    </row>
    <row r="419" spans="1:9">
      <c r="A419" s="3" t="s">
        <v>73</v>
      </c>
      <c r="B419" s="3" t="s">
        <v>74</v>
      </c>
      <c r="C419" s="3" t="s">
        <v>2157</v>
      </c>
      <c r="D419" s="3" t="s">
        <v>2398</v>
      </c>
      <c r="E419" s="3" t="s">
        <v>1144</v>
      </c>
      <c r="F419" s="3" t="s">
        <v>38</v>
      </c>
      <c r="G419" s="3" t="s">
        <v>2399</v>
      </c>
      <c r="H419" s="3" t="s">
        <v>16</v>
      </c>
      <c r="I419" s="3" t="s">
        <v>2400</v>
      </c>
    </row>
    <row r="420" spans="1:9">
      <c r="A420" s="3" t="s">
        <v>73</v>
      </c>
      <c r="B420" s="3" t="s">
        <v>74</v>
      </c>
      <c r="C420" s="3" t="s">
        <v>2157</v>
      </c>
      <c r="D420" s="3" t="s">
        <v>2497</v>
      </c>
      <c r="E420" s="3" t="s">
        <v>2498</v>
      </c>
      <c r="F420" s="3" t="s">
        <v>38</v>
      </c>
      <c r="G420" s="3" t="s">
        <v>2499</v>
      </c>
      <c r="H420" s="3" t="s">
        <v>16</v>
      </c>
      <c r="I420" s="3" t="s">
        <v>2500</v>
      </c>
    </row>
    <row r="421" spans="1:9">
      <c r="A421" s="3" t="s">
        <v>73</v>
      </c>
      <c r="B421" s="3" t="s">
        <v>74</v>
      </c>
      <c r="C421" s="3" t="s">
        <v>2157</v>
      </c>
      <c r="D421" s="3" t="s">
        <v>239</v>
      </c>
      <c r="E421" s="3" t="s">
        <v>2501</v>
      </c>
      <c r="F421" s="3" t="s">
        <v>38</v>
      </c>
      <c r="G421" s="3" t="s">
        <v>2502</v>
      </c>
      <c r="H421" s="3" t="s">
        <v>16</v>
      </c>
      <c r="I421" s="3" t="s">
        <v>2503</v>
      </c>
    </row>
    <row r="422" spans="1:9">
      <c r="A422" s="3" t="s">
        <v>73</v>
      </c>
      <c r="B422" s="3" t="s">
        <v>2552</v>
      </c>
      <c r="C422" s="3" t="s">
        <v>2547</v>
      </c>
      <c r="D422" s="3" t="s">
        <v>328</v>
      </c>
      <c r="E422" s="3" t="s">
        <v>877</v>
      </c>
      <c r="F422" s="3" t="s">
        <v>38</v>
      </c>
      <c r="G422" s="3"/>
      <c r="H422" s="3" t="s">
        <v>323</v>
      </c>
      <c r="I422" s="3" t="s">
        <v>2553</v>
      </c>
    </row>
    <row r="423" spans="1:9">
      <c r="A423" s="3" t="s">
        <v>73</v>
      </c>
      <c r="B423" s="3" t="s">
        <v>2564</v>
      </c>
      <c r="C423" s="3" t="s">
        <v>2547</v>
      </c>
      <c r="D423" s="3" t="s">
        <v>483</v>
      </c>
      <c r="E423" s="3" t="s">
        <v>2565</v>
      </c>
      <c r="F423" s="3" t="s">
        <v>38</v>
      </c>
      <c r="G423" s="3"/>
      <c r="H423" s="3" t="s">
        <v>323</v>
      </c>
      <c r="I423" s="3" t="s">
        <v>2566</v>
      </c>
    </row>
    <row r="424" spans="1:9">
      <c r="A424" s="3" t="s">
        <v>73</v>
      </c>
      <c r="B424" s="3" t="s">
        <v>2564</v>
      </c>
      <c r="C424" s="3" t="s">
        <v>2547</v>
      </c>
      <c r="D424" s="3" t="s">
        <v>2097</v>
      </c>
      <c r="E424" s="3" t="s">
        <v>2567</v>
      </c>
      <c r="F424" s="3" t="s">
        <v>38</v>
      </c>
      <c r="G424" s="3"/>
      <c r="H424" s="3" t="s">
        <v>323</v>
      </c>
      <c r="I424" s="3" t="s">
        <v>2568</v>
      </c>
    </row>
    <row r="425" spans="1:9">
      <c r="A425" s="3" t="s">
        <v>73</v>
      </c>
      <c r="B425" s="3" t="s">
        <v>3057</v>
      </c>
      <c r="C425" s="3" t="s">
        <v>2547</v>
      </c>
      <c r="D425" s="3" t="s">
        <v>3058</v>
      </c>
      <c r="E425" s="3" t="s">
        <v>3059</v>
      </c>
      <c r="F425" s="3" t="s">
        <v>38</v>
      </c>
      <c r="G425" s="3" t="s">
        <v>3060</v>
      </c>
      <c r="H425" s="3" t="s">
        <v>16</v>
      </c>
      <c r="I425" s="3" t="s">
        <v>3061</v>
      </c>
    </row>
    <row r="426" spans="1:9">
      <c r="A426" s="3" t="s">
        <v>73</v>
      </c>
      <c r="B426" s="3" t="s">
        <v>2552</v>
      </c>
      <c r="C426" s="3" t="s">
        <v>2547</v>
      </c>
      <c r="D426" s="3" t="s">
        <v>367</v>
      </c>
      <c r="E426" s="3" t="s">
        <v>3075</v>
      </c>
      <c r="F426" s="3" t="s">
        <v>38</v>
      </c>
      <c r="G426" s="3" t="s">
        <v>3076</v>
      </c>
      <c r="H426" s="3" t="s">
        <v>323</v>
      </c>
      <c r="I426" s="3" t="s">
        <v>3077</v>
      </c>
    </row>
    <row r="427" spans="1:9">
      <c r="A427" s="3" t="s">
        <v>73</v>
      </c>
      <c r="B427" s="3" t="s">
        <v>3083</v>
      </c>
      <c r="C427" s="3" t="s">
        <v>2547</v>
      </c>
      <c r="D427" s="3" t="s">
        <v>358</v>
      </c>
      <c r="E427" s="3" t="s">
        <v>1988</v>
      </c>
      <c r="F427" s="3" t="s">
        <v>38</v>
      </c>
      <c r="G427" s="3" t="s">
        <v>3084</v>
      </c>
      <c r="H427" s="3" t="s">
        <v>323</v>
      </c>
      <c r="I427" s="3" t="s">
        <v>3085</v>
      </c>
    </row>
    <row r="428" spans="1:9">
      <c r="A428" s="3" t="s">
        <v>73</v>
      </c>
      <c r="B428" s="3" t="s">
        <v>3117</v>
      </c>
      <c r="C428" s="3" t="s">
        <v>2547</v>
      </c>
      <c r="D428" s="3" t="s">
        <v>18</v>
      </c>
      <c r="E428" s="3" t="s">
        <v>3118</v>
      </c>
      <c r="F428" s="3" t="s">
        <v>217</v>
      </c>
      <c r="G428" s="3" t="s">
        <v>3119</v>
      </c>
      <c r="H428" s="3" t="s">
        <v>16</v>
      </c>
      <c r="I428" s="3" t="s">
        <v>3120</v>
      </c>
    </row>
    <row r="429" spans="1:9">
      <c r="A429" s="3" t="s">
        <v>73</v>
      </c>
      <c r="B429" s="3" t="s">
        <v>3163</v>
      </c>
      <c r="C429" s="3" t="s">
        <v>2547</v>
      </c>
      <c r="D429" s="3" t="s">
        <v>2044</v>
      </c>
      <c r="E429" s="3" t="s">
        <v>3164</v>
      </c>
      <c r="F429" s="3" t="s">
        <v>217</v>
      </c>
      <c r="G429" s="3" t="s">
        <v>3165</v>
      </c>
      <c r="H429" s="3" t="s">
        <v>16</v>
      </c>
      <c r="I429" s="3" t="s">
        <v>3166</v>
      </c>
    </row>
    <row r="430" spans="1:9">
      <c r="A430" s="3" t="s">
        <v>73</v>
      </c>
      <c r="B430" s="3" t="s">
        <v>2564</v>
      </c>
      <c r="C430" s="3" t="s">
        <v>2547</v>
      </c>
      <c r="D430" s="3" t="s">
        <v>654</v>
      </c>
      <c r="E430" s="3" t="s">
        <v>3172</v>
      </c>
      <c r="F430" s="3" t="s">
        <v>217</v>
      </c>
      <c r="G430" s="3" t="s">
        <v>3173</v>
      </c>
      <c r="H430" s="3" t="s">
        <v>16</v>
      </c>
      <c r="I430" s="3" t="s">
        <v>3174</v>
      </c>
    </row>
    <row r="431" spans="1:9">
      <c r="A431" s="3" t="s">
        <v>73</v>
      </c>
      <c r="B431" s="3" t="s">
        <v>3117</v>
      </c>
      <c r="C431" s="3" t="s">
        <v>2547</v>
      </c>
      <c r="D431" s="3" t="s">
        <v>239</v>
      </c>
      <c r="E431" s="3" t="s">
        <v>3215</v>
      </c>
      <c r="F431" s="3" t="s">
        <v>38</v>
      </c>
      <c r="G431" s="3" t="s">
        <v>3216</v>
      </c>
      <c r="H431" s="3" t="s">
        <v>16</v>
      </c>
      <c r="I431" s="3" t="s">
        <v>3217</v>
      </c>
    </row>
    <row r="432" spans="1:9">
      <c r="A432" s="3" t="s">
        <v>73</v>
      </c>
      <c r="B432" s="3" t="s">
        <v>3540</v>
      </c>
      <c r="C432" s="3" t="s">
        <v>3529</v>
      </c>
      <c r="D432" s="3" t="s">
        <v>3541</v>
      </c>
      <c r="E432" s="3" t="s">
        <v>3542</v>
      </c>
      <c r="F432" s="3" t="s">
        <v>217</v>
      </c>
      <c r="G432" s="3" t="s">
        <v>3543</v>
      </c>
      <c r="H432" s="3" t="s">
        <v>323</v>
      </c>
      <c r="I432" s="3" t="s">
        <v>3544</v>
      </c>
    </row>
    <row r="433" spans="1:9">
      <c r="A433" s="3" t="s">
        <v>73</v>
      </c>
      <c r="B433" s="3" t="s">
        <v>3598</v>
      </c>
      <c r="C433" s="3" t="s">
        <v>3529</v>
      </c>
      <c r="D433" s="3" t="s">
        <v>95</v>
      </c>
      <c r="E433" s="3" t="s">
        <v>3599</v>
      </c>
      <c r="F433" s="3" t="s">
        <v>217</v>
      </c>
      <c r="G433" s="3" t="s">
        <v>3600</v>
      </c>
      <c r="H433" s="3" t="s">
        <v>323</v>
      </c>
      <c r="I433" s="3" t="s">
        <v>3601</v>
      </c>
    </row>
    <row r="434" spans="1:9">
      <c r="A434" s="3" t="s">
        <v>73</v>
      </c>
      <c r="B434" s="3" t="s">
        <v>3602</v>
      </c>
      <c r="C434" s="3" t="s">
        <v>3529</v>
      </c>
      <c r="D434" s="3" t="s">
        <v>321</v>
      </c>
      <c r="E434" s="3" t="s">
        <v>3603</v>
      </c>
      <c r="F434" s="3" t="s">
        <v>217</v>
      </c>
      <c r="G434" s="3" t="s">
        <v>3604</v>
      </c>
      <c r="H434" s="3" t="s">
        <v>323</v>
      </c>
      <c r="I434" s="3" t="s">
        <v>3605</v>
      </c>
    </row>
    <row r="435" spans="1:9">
      <c r="A435" s="3" t="s">
        <v>73</v>
      </c>
      <c r="B435" s="3" t="s">
        <v>3540</v>
      </c>
      <c r="C435" s="3" t="s">
        <v>3529</v>
      </c>
      <c r="D435" s="3" t="s">
        <v>26</v>
      </c>
      <c r="E435" s="3" t="s">
        <v>3606</v>
      </c>
      <c r="F435" s="3" t="s">
        <v>217</v>
      </c>
      <c r="G435" s="3" t="s">
        <v>511</v>
      </c>
      <c r="H435" s="3" t="s">
        <v>16</v>
      </c>
      <c r="I435" s="3" t="s">
        <v>3607</v>
      </c>
    </row>
    <row r="436" spans="1:9">
      <c r="A436" s="3" t="s">
        <v>73</v>
      </c>
      <c r="B436" s="3" t="s">
        <v>3598</v>
      </c>
      <c r="C436" s="3" t="s">
        <v>3529</v>
      </c>
      <c r="D436" s="3" t="s">
        <v>3549</v>
      </c>
      <c r="E436" s="3" t="s">
        <v>3608</v>
      </c>
      <c r="F436" s="3" t="s">
        <v>217</v>
      </c>
      <c r="G436" s="3" t="s">
        <v>3609</v>
      </c>
      <c r="H436" s="3" t="s">
        <v>323</v>
      </c>
      <c r="I436" s="3" t="s">
        <v>3610</v>
      </c>
    </row>
    <row r="437" spans="1:9">
      <c r="A437" s="3" t="s">
        <v>73</v>
      </c>
      <c r="B437" s="3" t="s">
        <v>3615</v>
      </c>
      <c r="C437" s="3" t="s">
        <v>3529</v>
      </c>
      <c r="D437" s="3" t="s">
        <v>1629</v>
      </c>
      <c r="E437" s="3" t="s">
        <v>3616</v>
      </c>
      <c r="F437" s="3" t="s">
        <v>217</v>
      </c>
      <c r="G437" s="3"/>
      <c r="H437" s="3" t="s">
        <v>16</v>
      </c>
      <c r="I437" s="3" t="s">
        <v>3617</v>
      </c>
    </row>
    <row r="438" spans="1:9">
      <c r="A438" s="3" t="s">
        <v>1000</v>
      </c>
      <c r="B438" s="3" t="s">
        <v>1001</v>
      </c>
      <c r="C438" s="3" t="s">
        <v>900</v>
      </c>
      <c r="D438" s="3" t="s">
        <v>348</v>
      </c>
      <c r="E438" s="3" t="s">
        <v>952</v>
      </c>
      <c r="F438" s="3" t="s">
        <v>217</v>
      </c>
      <c r="G438" s="3" t="s">
        <v>1002</v>
      </c>
      <c r="H438" s="3" t="s">
        <v>16</v>
      </c>
      <c r="I438" s="3" t="s">
        <v>1003</v>
      </c>
    </row>
    <row r="439" spans="1:9">
      <c r="A439" s="3" t="s">
        <v>1000</v>
      </c>
      <c r="B439" s="3" t="s">
        <v>1001</v>
      </c>
      <c r="C439" s="3" t="s">
        <v>900</v>
      </c>
      <c r="D439" s="3" t="s">
        <v>358</v>
      </c>
      <c r="E439" s="3" t="s">
        <v>1144</v>
      </c>
      <c r="F439" s="3" t="s">
        <v>38</v>
      </c>
      <c r="G439" s="3"/>
      <c r="H439" s="3" t="s">
        <v>16</v>
      </c>
      <c r="I439" s="3" t="s">
        <v>1334</v>
      </c>
    </row>
    <row r="440" spans="1:9">
      <c r="A440" s="3" t="s">
        <v>1000</v>
      </c>
      <c r="B440" s="3" t="s">
        <v>1001</v>
      </c>
      <c r="C440" s="3" t="s">
        <v>900</v>
      </c>
      <c r="D440" s="3" t="s">
        <v>75</v>
      </c>
      <c r="E440" s="3" t="s">
        <v>1431</v>
      </c>
      <c r="F440" s="3" t="s">
        <v>38</v>
      </c>
      <c r="G440" s="3" t="s">
        <v>1432</v>
      </c>
      <c r="H440" s="3" t="s">
        <v>323</v>
      </c>
      <c r="I440" s="3" t="s">
        <v>1433</v>
      </c>
    </row>
    <row r="441" spans="1:9">
      <c r="A441" s="3" t="s">
        <v>1000</v>
      </c>
      <c r="B441" s="3" t="s">
        <v>2577</v>
      </c>
      <c r="C441" s="3" t="s">
        <v>2547</v>
      </c>
      <c r="D441" s="3" t="s">
        <v>923</v>
      </c>
      <c r="E441" s="3" t="s">
        <v>2578</v>
      </c>
      <c r="F441" s="3" t="s">
        <v>38</v>
      </c>
      <c r="G441" s="3" t="s">
        <v>2579</v>
      </c>
      <c r="H441" s="3" t="s">
        <v>323</v>
      </c>
      <c r="I441" s="3" t="s">
        <v>2580</v>
      </c>
    </row>
    <row r="442" spans="1:9">
      <c r="A442" s="3" t="s">
        <v>1000</v>
      </c>
      <c r="B442" s="3" t="s">
        <v>2581</v>
      </c>
      <c r="C442" s="3" t="s">
        <v>2547</v>
      </c>
      <c r="D442" s="3" t="s">
        <v>2582</v>
      </c>
      <c r="E442" s="3" t="s">
        <v>2583</v>
      </c>
      <c r="F442" s="3" t="s">
        <v>38</v>
      </c>
      <c r="G442" s="3" t="s">
        <v>2584</v>
      </c>
      <c r="H442" s="3" t="s">
        <v>323</v>
      </c>
      <c r="I442" s="3" t="s">
        <v>2585</v>
      </c>
    </row>
    <row r="443" spans="1:9">
      <c r="A443" s="3" t="s">
        <v>1000</v>
      </c>
      <c r="B443" s="3" t="s">
        <v>2596</v>
      </c>
      <c r="C443" s="3" t="s">
        <v>2547</v>
      </c>
      <c r="D443" s="3" t="s">
        <v>2597</v>
      </c>
      <c r="E443" s="3" t="s">
        <v>2598</v>
      </c>
      <c r="F443" s="3" t="s">
        <v>38</v>
      </c>
      <c r="G443" s="3" t="s">
        <v>2599</v>
      </c>
      <c r="H443" s="3" t="s">
        <v>323</v>
      </c>
      <c r="I443" s="3" t="s">
        <v>2600</v>
      </c>
    </row>
    <row r="444" spans="1:9">
      <c r="A444" s="3" t="s">
        <v>1000</v>
      </c>
      <c r="B444" s="3" t="s">
        <v>2604</v>
      </c>
      <c r="C444" s="3" t="s">
        <v>2547</v>
      </c>
      <c r="D444" s="3" t="s">
        <v>2605</v>
      </c>
      <c r="E444" s="3" t="s">
        <v>2606</v>
      </c>
      <c r="F444" s="3" t="s">
        <v>38</v>
      </c>
      <c r="G444" s="3" t="s">
        <v>2607</v>
      </c>
      <c r="H444" s="3" t="s">
        <v>323</v>
      </c>
      <c r="I444" s="3" t="s">
        <v>2608</v>
      </c>
    </row>
    <row r="445" spans="1:9">
      <c r="A445" s="3" t="s">
        <v>1000</v>
      </c>
      <c r="B445" s="3" t="s">
        <v>2604</v>
      </c>
      <c r="C445" s="3" t="s">
        <v>2547</v>
      </c>
      <c r="D445" s="3" t="s">
        <v>2630</v>
      </c>
      <c r="E445" s="3" t="s">
        <v>1410</v>
      </c>
      <c r="F445" s="3" t="s">
        <v>38</v>
      </c>
      <c r="G445" s="3" t="s">
        <v>2631</v>
      </c>
      <c r="H445" s="3" t="s">
        <v>323</v>
      </c>
      <c r="I445" s="3" t="s">
        <v>2632</v>
      </c>
    </row>
    <row r="446" spans="1:9">
      <c r="A446" s="3" t="s">
        <v>1000</v>
      </c>
      <c r="B446" s="3" t="s">
        <v>2633</v>
      </c>
      <c r="C446" s="3" t="s">
        <v>2547</v>
      </c>
      <c r="D446" s="3" t="s">
        <v>45</v>
      </c>
      <c r="E446" s="3" t="s">
        <v>2634</v>
      </c>
      <c r="F446" s="3" t="s">
        <v>38</v>
      </c>
      <c r="G446" s="3" t="s">
        <v>2635</v>
      </c>
      <c r="H446" s="3" t="s">
        <v>323</v>
      </c>
      <c r="I446" s="3" t="s">
        <v>2636</v>
      </c>
    </row>
    <row r="447" spans="1:9">
      <c r="A447" s="3" t="s">
        <v>1000</v>
      </c>
      <c r="B447" s="3" t="s">
        <v>2639</v>
      </c>
      <c r="C447" s="3" t="s">
        <v>2547</v>
      </c>
      <c r="D447" s="3" t="s">
        <v>553</v>
      </c>
      <c r="E447" s="3" t="s">
        <v>2640</v>
      </c>
      <c r="F447" s="3" t="s">
        <v>38</v>
      </c>
      <c r="G447" s="3" t="s">
        <v>2641</v>
      </c>
      <c r="H447" s="3" t="s">
        <v>323</v>
      </c>
      <c r="I447" s="3" t="s">
        <v>2642</v>
      </c>
    </row>
    <row r="448" spans="1:9">
      <c r="A448" s="3" t="s">
        <v>1000</v>
      </c>
      <c r="B448" s="3" t="s">
        <v>2639</v>
      </c>
      <c r="C448" s="3" t="s">
        <v>2547</v>
      </c>
      <c r="D448" s="3" t="s">
        <v>2643</v>
      </c>
      <c r="E448" s="3" t="s">
        <v>182</v>
      </c>
      <c r="F448" s="3" t="s">
        <v>38</v>
      </c>
      <c r="G448" s="3" t="s">
        <v>385</v>
      </c>
      <c r="H448" s="3" t="s">
        <v>323</v>
      </c>
      <c r="I448" s="3" t="s">
        <v>2644</v>
      </c>
    </row>
    <row r="449" spans="1:9">
      <c r="A449" s="3" t="s">
        <v>1000</v>
      </c>
      <c r="B449" s="3" t="s">
        <v>2650</v>
      </c>
      <c r="C449" s="3" t="s">
        <v>2547</v>
      </c>
      <c r="D449" s="3" t="s">
        <v>2651</v>
      </c>
      <c r="E449" s="3" t="s">
        <v>2652</v>
      </c>
      <c r="F449" s="3" t="s">
        <v>38</v>
      </c>
      <c r="G449" s="3" t="s">
        <v>2653</v>
      </c>
      <c r="H449" s="3" t="s">
        <v>323</v>
      </c>
      <c r="I449" s="3" t="s">
        <v>2654</v>
      </c>
    </row>
    <row r="450" spans="1:9">
      <c r="A450" s="3" t="s">
        <v>1000</v>
      </c>
      <c r="B450" s="3" t="s">
        <v>2639</v>
      </c>
      <c r="C450" s="3" t="s">
        <v>2547</v>
      </c>
      <c r="D450" s="3" t="s">
        <v>2655</v>
      </c>
      <c r="E450" s="3" t="s">
        <v>2656</v>
      </c>
      <c r="F450" s="3" t="s">
        <v>38</v>
      </c>
      <c r="G450" s="3" t="s">
        <v>2657</v>
      </c>
      <c r="H450" s="3" t="s">
        <v>323</v>
      </c>
      <c r="I450" s="3" t="s">
        <v>2658</v>
      </c>
    </row>
    <row r="451" spans="1:9">
      <c r="A451" s="3" t="s">
        <v>1000</v>
      </c>
      <c r="B451" s="3" t="s">
        <v>2639</v>
      </c>
      <c r="C451" s="3" t="s">
        <v>2547</v>
      </c>
      <c r="D451" s="3" t="s">
        <v>420</v>
      </c>
      <c r="E451" s="3" t="s">
        <v>1988</v>
      </c>
      <c r="F451" s="3" t="s">
        <v>38</v>
      </c>
      <c r="G451" s="3" t="s">
        <v>2659</v>
      </c>
      <c r="H451" s="3" t="s">
        <v>323</v>
      </c>
      <c r="I451" s="3" t="s">
        <v>2660</v>
      </c>
    </row>
    <row r="452" spans="1:9">
      <c r="A452" s="3" t="s">
        <v>1000</v>
      </c>
      <c r="B452" s="3" t="s">
        <v>2639</v>
      </c>
      <c r="C452" s="3" t="s">
        <v>2547</v>
      </c>
      <c r="D452" s="3" t="s">
        <v>2541</v>
      </c>
      <c r="E452" s="3" t="s">
        <v>2661</v>
      </c>
      <c r="F452" s="3" t="s">
        <v>38</v>
      </c>
      <c r="G452" s="3" t="s">
        <v>2662</v>
      </c>
      <c r="H452" s="3" t="s">
        <v>323</v>
      </c>
      <c r="I452" s="3" t="s">
        <v>2663</v>
      </c>
    </row>
    <row r="453" spans="1:9">
      <c r="A453" s="3" t="s">
        <v>1000</v>
      </c>
      <c r="B453" s="3" t="s">
        <v>2664</v>
      </c>
      <c r="C453" s="3" t="s">
        <v>2547</v>
      </c>
      <c r="D453" s="3" t="s">
        <v>2665</v>
      </c>
      <c r="E453" s="3" t="s">
        <v>2666</v>
      </c>
      <c r="F453" s="3" t="s">
        <v>38</v>
      </c>
      <c r="G453" s="3" t="s">
        <v>2667</v>
      </c>
      <c r="H453" s="3" t="s">
        <v>323</v>
      </c>
      <c r="I453" s="3" t="s">
        <v>2668</v>
      </c>
    </row>
    <row r="454" spans="1:9">
      <c r="A454" s="3" t="s">
        <v>1000</v>
      </c>
      <c r="B454" s="3" t="s">
        <v>2664</v>
      </c>
      <c r="C454" s="3" t="s">
        <v>2547</v>
      </c>
      <c r="D454" s="3" t="s">
        <v>1311</v>
      </c>
      <c r="E454" s="3" t="s">
        <v>2669</v>
      </c>
      <c r="F454" s="3" t="s">
        <v>38</v>
      </c>
      <c r="G454" s="3" t="s">
        <v>2670</v>
      </c>
      <c r="H454" s="3" t="s">
        <v>323</v>
      </c>
      <c r="I454" s="3" t="s">
        <v>2671</v>
      </c>
    </row>
    <row r="455" spans="1:9">
      <c r="A455" s="3" t="s">
        <v>1000</v>
      </c>
      <c r="B455" s="3" t="s">
        <v>2672</v>
      </c>
      <c r="C455" s="3" t="s">
        <v>2547</v>
      </c>
      <c r="D455" s="3" t="s">
        <v>1175</v>
      </c>
      <c r="E455" s="3" t="s">
        <v>2673</v>
      </c>
      <c r="F455" s="3" t="s">
        <v>217</v>
      </c>
      <c r="G455" s="3" t="s">
        <v>2674</v>
      </c>
      <c r="H455" s="3" t="s">
        <v>323</v>
      </c>
      <c r="I455" s="3" t="s">
        <v>2675</v>
      </c>
    </row>
    <row r="456" spans="1:9">
      <c r="A456" s="3" t="s">
        <v>1000</v>
      </c>
      <c r="B456" s="3" t="s">
        <v>2676</v>
      </c>
      <c r="C456" s="3" t="s">
        <v>2547</v>
      </c>
      <c r="D456" s="3" t="s">
        <v>2677</v>
      </c>
      <c r="E456" s="3" t="s">
        <v>2589</v>
      </c>
      <c r="F456" s="3" t="s">
        <v>38</v>
      </c>
      <c r="G456" s="3" t="s">
        <v>1620</v>
      </c>
      <c r="H456" s="3" t="s">
        <v>323</v>
      </c>
      <c r="I456" s="3" t="s">
        <v>2678</v>
      </c>
    </row>
    <row r="457" spans="1:9">
      <c r="A457" s="3" t="s">
        <v>1000</v>
      </c>
      <c r="B457" s="3" t="s">
        <v>2676</v>
      </c>
      <c r="C457" s="3" t="s">
        <v>2547</v>
      </c>
      <c r="D457" s="3" t="s">
        <v>1713</v>
      </c>
      <c r="E457" s="3" t="s">
        <v>2679</v>
      </c>
      <c r="F457" s="3" t="s">
        <v>38</v>
      </c>
      <c r="G457" s="3" t="s">
        <v>2680</v>
      </c>
      <c r="H457" s="3" t="s">
        <v>323</v>
      </c>
      <c r="I457" s="3" t="s">
        <v>2681</v>
      </c>
    </row>
    <row r="458" spans="1:9">
      <c r="A458" s="3" t="s">
        <v>1000</v>
      </c>
      <c r="B458" s="3" t="s">
        <v>2577</v>
      </c>
      <c r="C458" s="3" t="s">
        <v>2547</v>
      </c>
      <c r="D458" s="3" t="s">
        <v>2682</v>
      </c>
      <c r="E458" s="3" t="s">
        <v>2411</v>
      </c>
      <c r="F458" s="3" t="s">
        <v>217</v>
      </c>
      <c r="G458" s="3" t="s">
        <v>2683</v>
      </c>
      <c r="H458" s="3" t="s">
        <v>323</v>
      </c>
      <c r="I458" s="3" t="s">
        <v>2684</v>
      </c>
    </row>
    <row r="459" spans="1:9">
      <c r="A459" s="3" t="s">
        <v>1000</v>
      </c>
      <c r="B459" s="3" t="s">
        <v>2577</v>
      </c>
      <c r="C459" s="3" t="s">
        <v>2547</v>
      </c>
      <c r="D459" s="3" t="s">
        <v>1175</v>
      </c>
      <c r="E459" s="3" t="s">
        <v>2685</v>
      </c>
      <c r="F459" s="3" t="s">
        <v>38</v>
      </c>
      <c r="G459" s="3" t="s">
        <v>620</v>
      </c>
      <c r="H459" s="3" t="s">
        <v>323</v>
      </c>
      <c r="I459" s="3" t="s">
        <v>2686</v>
      </c>
    </row>
    <row r="460" spans="1:9">
      <c r="A460" s="3" t="s">
        <v>1000</v>
      </c>
      <c r="B460" s="3" t="s">
        <v>2639</v>
      </c>
      <c r="C460" s="3" t="s">
        <v>2547</v>
      </c>
      <c r="D460" s="3" t="s">
        <v>2076</v>
      </c>
      <c r="E460" s="3" t="s">
        <v>2690</v>
      </c>
      <c r="F460" s="3" t="s">
        <v>38</v>
      </c>
      <c r="G460" s="3" t="s">
        <v>2691</v>
      </c>
      <c r="H460" s="3" t="s">
        <v>323</v>
      </c>
      <c r="I460" s="3" t="s">
        <v>2692</v>
      </c>
    </row>
    <row r="461" spans="1:9">
      <c r="A461" s="3" t="s">
        <v>1000</v>
      </c>
      <c r="B461" s="3" t="s">
        <v>2693</v>
      </c>
      <c r="C461" s="3" t="s">
        <v>2547</v>
      </c>
      <c r="D461" s="3" t="s">
        <v>1470</v>
      </c>
      <c r="E461" s="3" t="s">
        <v>2694</v>
      </c>
      <c r="F461" s="3" t="s">
        <v>38</v>
      </c>
      <c r="G461" s="3" t="s">
        <v>2695</v>
      </c>
      <c r="H461" s="3" t="s">
        <v>323</v>
      </c>
      <c r="I461" s="3" t="s">
        <v>2696</v>
      </c>
    </row>
    <row r="462" spans="1:9">
      <c r="A462" s="3" t="s">
        <v>1000</v>
      </c>
      <c r="B462" s="3" t="s">
        <v>2639</v>
      </c>
      <c r="C462" s="3" t="s">
        <v>2547</v>
      </c>
      <c r="D462" s="3" t="s">
        <v>2697</v>
      </c>
      <c r="E462" s="3" t="s">
        <v>2698</v>
      </c>
      <c r="F462" s="3" t="s">
        <v>38</v>
      </c>
      <c r="G462" s="3" t="s">
        <v>2699</v>
      </c>
      <c r="H462" s="3" t="s">
        <v>323</v>
      </c>
      <c r="I462" s="3" t="s">
        <v>2700</v>
      </c>
    </row>
    <row r="463" spans="1:9">
      <c r="A463" s="3" t="s">
        <v>1000</v>
      </c>
      <c r="B463" s="3" t="s">
        <v>2664</v>
      </c>
      <c r="C463" s="3" t="s">
        <v>2547</v>
      </c>
      <c r="D463" s="3" t="s">
        <v>461</v>
      </c>
      <c r="E463" s="3" t="s">
        <v>2701</v>
      </c>
      <c r="F463" s="3" t="s">
        <v>38</v>
      </c>
      <c r="G463" s="3" t="s">
        <v>2702</v>
      </c>
      <c r="H463" s="3" t="s">
        <v>323</v>
      </c>
      <c r="I463" s="3" t="s">
        <v>2703</v>
      </c>
    </row>
    <row r="464" spans="1:9">
      <c r="A464" s="3" t="s">
        <v>1000</v>
      </c>
      <c r="B464" s="3" t="s">
        <v>2672</v>
      </c>
      <c r="C464" s="3" t="s">
        <v>2547</v>
      </c>
      <c r="D464" s="3" t="s">
        <v>2704</v>
      </c>
      <c r="E464" s="3" t="s">
        <v>2705</v>
      </c>
      <c r="F464" s="3" t="s">
        <v>38</v>
      </c>
      <c r="G464" s="3" t="s">
        <v>2706</v>
      </c>
      <c r="H464" s="3" t="s">
        <v>323</v>
      </c>
      <c r="I464" s="3" t="s">
        <v>2707</v>
      </c>
    </row>
    <row r="465" spans="1:9">
      <c r="A465" s="3" t="s">
        <v>1000</v>
      </c>
      <c r="B465" s="3" t="s">
        <v>2672</v>
      </c>
      <c r="C465" s="3" t="s">
        <v>2547</v>
      </c>
      <c r="D465" s="3" t="s">
        <v>2708</v>
      </c>
      <c r="E465" s="3" t="s">
        <v>2709</v>
      </c>
      <c r="F465" s="3" t="s">
        <v>38</v>
      </c>
      <c r="G465" s="3" t="s">
        <v>2710</v>
      </c>
      <c r="H465" s="3" t="s">
        <v>323</v>
      </c>
      <c r="I465" s="3" t="s">
        <v>2711</v>
      </c>
    </row>
    <row r="466" spans="1:9">
      <c r="A466" s="3" t="s">
        <v>1000</v>
      </c>
      <c r="B466" s="3" t="s">
        <v>2633</v>
      </c>
      <c r="C466" s="3" t="s">
        <v>2547</v>
      </c>
      <c r="D466" s="3" t="s">
        <v>358</v>
      </c>
      <c r="E466" s="3" t="s">
        <v>2621</v>
      </c>
      <c r="F466" s="3" t="s">
        <v>217</v>
      </c>
      <c r="G466" s="3" t="s">
        <v>2734</v>
      </c>
      <c r="H466" s="3" t="s">
        <v>16</v>
      </c>
      <c r="I466" s="3" t="s">
        <v>2735</v>
      </c>
    </row>
    <row r="467" spans="1:9">
      <c r="A467" s="3" t="s">
        <v>1000</v>
      </c>
      <c r="B467" s="3" t="s">
        <v>2604</v>
      </c>
      <c r="C467" s="3" t="s">
        <v>2547</v>
      </c>
      <c r="D467" s="3" t="s">
        <v>1038</v>
      </c>
      <c r="E467" s="3" t="s">
        <v>2743</v>
      </c>
      <c r="F467" s="3" t="s">
        <v>14</v>
      </c>
      <c r="G467" s="3" t="s">
        <v>2744</v>
      </c>
      <c r="H467" s="3" t="s">
        <v>16</v>
      </c>
      <c r="I467" s="3" t="s">
        <v>2745</v>
      </c>
    </row>
    <row r="468" spans="1:9">
      <c r="A468" s="3" t="s">
        <v>1000</v>
      </c>
      <c r="B468" s="3" t="s">
        <v>2633</v>
      </c>
      <c r="C468" s="3" t="s">
        <v>2547</v>
      </c>
      <c r="D468" s="3" t="s">
        <v>659</v>
      </c>
      <c r="E468" s="3" t="s">
        <v>2758</v>
      </c>
      <c r="F468" s="3" t="s">
        <v>14</v>
      </c>
      <c r="G468" s="3" t="s">
        <v>2759</v>
      </c>
      <c r="H468" s="3" t="s">
        <v>16</v>
      </c>
      <c r="I468" s="3" t="s">
        <v>2760</v>
      </c>
    </row>
    <row r="469" spans="1:9">
      <c r="A469" s="3" t="s">
        <v>1000</v>
      </c>
      <c r="B469" s="3" t="s">
        <v>2672</v>
      </c>
      <c r="C469" s="3" t="s">
        <v>2547</v>
      </c>
      <c r="D469" s="3" t="s">
        <v>367</v>
      </c>
      <c r="E469" s="3" t="s">
        <v>2761</v>
      </c>
      <c r="F469" s="3" t="s">
        <v>217</v>
      </c>
      <c r="G469" s="3" t="s">
        <v>2762</v>
      </c>
      <c r="H469" s="3" t="s">
        <v>16</v>
      </c>
      <c r="I469" s="3" t="s">
        <v>2763</v>
      </c>
    </row>
    <row r="470" spans="1:9">
      <c r="A470" s="3" t="s">
        <v>1000</v>
      </c>
      <c r="B470" s="3" t="s">
        <v>2596</v>
      </c>
      <c r="C470" s="3" t="s">
        <v>2547</v>
      </c>
      <c r="D470" s="3" t="s">
        <v>2764</v>
      </c>
      <c r="E470" s="3" t="s">
        <v>2765</v>
      </c>
      <c r="F470" s="3" t="s">
        <v>14</v>
      </c>
      <c r="G470" s="3" t="s">
        <v>2766</v>
      </c>
      <c r="H470" s="3" t="s">
        <v>323</v>
      </c>
      <c r="I470" s="3" t="s">
        <v>2767</v>
      </c>
    </row>
    <row r="471" spans="1:9">
      <c r="A471" s="3" t="s">
        <v>1000</v>
      </c>
      <c r="B471" s="3" t="s">
        <v>2664</v>
      </c>
      <c r="C471" s="3" t="s">
        <v>2547</v>
      </c>
      <c r="D471" s="3" t="s">
        <v>239</v>
      </c>
      <c r="E471" s="3" t="s">
        <v>1820</v>
      </c>
      <c r="F471" s="3" t="s">
        <v>217</v>
      </c>
      <c r="G471" s="3" t="s">
        <v>2772</v>
      </c>
      <c r="H471" s="3" t="s">
        <v>16</v>
      </c>
      <c r="I471" s="3" t="s">
        <v>2773</v>
      </c>
    </row>
    <row r="472" spans="1:9">
      <c r="A472" s="3" t="s">
        <v>1000</v>
      </c>
      <c r="B472" s="3" t="s">
        <v>2786</v>
      </c>
      <c r="C472" s="3" t="s">
        <v>2547</v>
      </c>
      <c r="D472" s="3" t="s">
        <v>348</v>
      </c>
      <c r="E472" s="3" t="s">
        <v>2787</v>
      </c>
      <c r="F472" s="3" t="s">
        <v>38</v>
      </c>
      <c r="G472" s="3" t="s">
        <v>2788</v>
      </c>
      <c r="H472" s="3" t="s">
        <v>16</v>
      </c>
      <c r="I472" s="3" t="s">
        <v>2789</v>
      </c>
    </row>
    <row r="473" spans="1:9">
      <c r="A473" s="3" t="s">
        <v>1000</v>
      </c>
      <c r="B473" s="3" t="s">
        <v>2664</v>
      </c>
      <c r="C473" s="3" t="s">
        <v>2547</v>
      </c>
      <c r="D473" s="3" t="s">
        <v>2807</v>
      </c>
      <c r="E473" s="3" t="s">
        <v>2808</v>
      </c>
      <c r="F473" s="3" t="s">
        <v>38</v>
      </c>
      <c r="G473" s="3" t="s">
        <v>2809</v>
      </c>
      <c r="H473" s="3" t="s">
        <v>16</v>
      </c>
      <c r="I473" s="3" t="s">
        <v>2810</v>
      </c>
    </row>
    <row r="474" spans="1:9">
      <c r="A474" s="3" t="s">
        <v>1000</v>
      </c>
      <c r="B474" s="3" t="s">
        <v>2831</v>
      </c>
      <c r="C474" s="3" t="s">
        <v>2547</v>
      </c>
      <c r="D474" s="3" t="s">
        <v>2385</v>
      </c>
      <c r="E474" s="3" t="s">
        <v>1295</v>
      </c>
      <c r="F474" s="3" t="s">
        <v>217</v>
      </c>
      <c r="G474" s="3" t="s">
        <v>2832</v>
      </c>
      <c r="H474" s="3" t="s">
        <v>16</v>
      </c>
      <c r="I474" s="3" t="s">
        <v>2833</v>
      </c>
    </row>
    <row r="475" spans="1:9">
      <c r="A475" s="3" t="s">
        <v>1000</v>
      </c>
      <c r="B475" s="3" t="s">
        <v>2693</v>
      </c>
      <c r="C475" s="3" t="s">
        <v>2547</v>
      </c>
      <c r="D475" s="3" t="s">
        <v>1276</v>
      </c>
      <c r="E475" s="3" t="s">
        <v>2834</v>
      </c>
      <c r="F475" s="3" t="s">
        <v>217</v>
      </c>
      <c r="G475" s="3" t="s">
        <v>2835</v>
      </c>
      <c r="H475" s="3" t="s">
        <v>16</v>
      </c>
      <c r="I475" s="3" t="s">
        <v>2836</v>
      </c>
    </row>
    <row r="476" spans="1:9">
      <c r="A476" s="3" t="s">
        <v>1000</v>
      </c>
      <c r="B476" s="3" t="s">
        <v>2837</v>
      </c>
      <c r="C476" s="3" t="s">
        <v>2547</v>
      </c>
      <c r="D476" s="3" t="s">
        <v>2838</v>
      </c>
      <c r="E476" s="3" t="s">
        <v>2839</v>
      </c>
      <c r="F476" s="3" t="s">
        <v>217</v>
      </c>
      <c r="G476" s="3" t="s">
        <v>2840</v>
      </c>
      <c r="H476" s="3" t="s">
        <v>323</v>
      </c>
      <c r="I476" s="3" t="s">
        <v>2841</v>
      </c>
    </row>
    <row r="477" spans="1:9">
      <c r="A477" s="3" t="s">
        <v>1000</v>
      </c>
      <c r="B477" s="3" t="s">
        <v>2842</v>
      </c>
      <c r="C477" s="3" t="s">
        <v>2547</v>
      </c>
      <c r="D477" s="3" t="s">
        <v>1826</v>
      </c>
      <c r="E477" s="3" t="s">
        <v>2843</v>
      </c>
      <c r="F477" s="3" t="s">
        <v>217</v>
      </c>
      <c r="G477" s="3" t="s">
        <v>2844</v>
      </c>
      <c r="H477" s="3" t="s">
        <v>16</v>
      </c>
      <c r="I477" s="3" t="s">
        <v>2845</v>
      </c>
    </row>
    <row r="478" spans="1:9">
      <c r="A478" s="3" t="s">
        <v>1000</v>
      </c>
      <c r="B478" s="3" t="s">
        <v>2581</v>
      </c>
      <c r="C478" s="3" t="s">
        <v>2547</v>
      </c>
      <c r="D478" s="3" t="s">
        <v>2465</v>
      </c>
      <c r="E478" s="3" t="s">
        <v>2846</v>
      </c>
      <c r="F478" s="3" t="s">
        <v>38</v>
      </c>
      <c r="G478" s="3" t="s">
        <v>245</v>
      </c>
      <c r="H478" s="3" t="s">
        <v>16</v>
      </c>
      <c r="I478" s="3" t="s">
        <v>2847</v>
      </c>
    </row>
    <row r="479" spans="1:9">
      <c r="A479" s="3" t="s">
        <v>1000</v>
      </c>
      <c r="B479" s="3" t="s">
        <v>2851</v>
      </c>
      <c r="C479" s="3" t="s">
        <v>2547</v>
      </c>
      <c r="D479" s="3" t="s">
        <v>1470</v>
      </c>
      <c r="E479" s="3" t="s">
        <v>1364</v>
      </c>
      <c r="F479" s="3" t="s">
        <v>38</v>
      </c>
      <c r="G479" s="3" t="s">
        <v>849</v>
      </c>
      <c r="H479" s="3" t="s">
        <v>16</v>
      </c>
      <c r="I479" s="3" t="s">
        <v>2852</v>
      </c>
    </row>
    <row r="480" spans="1:9">
      <c r="A480" s="3" t="s">
        <v>1000</v>
      </c>
      <c r="B480" s="3" t="s">
        <v>2853</v>
      </c>
      <c r="C480" s="3" t="s">
        <v>2547</v>
      </c>
      <c r="D480" s="3" t="s">
        <v>553</v>
      </c>
      <c r="E480" s="3" t="s">
        <v>2854</v>
      </c>
      <c r="F480" s="3" t="s">
        <v>217</v>
      </c>
      <c r="G480" s="3" t="s">
        <v>2855</v>
      </c>
      <c r="H480" s="3" t="s">
        <v>16</v>
      </c>
      <c r="I480" s="3" t="s">
        <v>2856</v>
      </c>
    </row>
    <row r="481" spans="1:9">
      <c r="A481" s="3" t="s">
        <v>1000</v>
      </c>
      <c r="B481" s="3" t="s">
        <v>2864</v>
      </c>
      <c r="C481" s="3" t="s">
        <v>2547</v>
      </c>
      <c r="D481" s="3" t="s">
        <v>239</v>
      </c>
      <c r="E481" s="3" t="s">
        <v>2425</v>
      </c>
      <c r="F481" s="3" t="s">
        <v>38</v>
      </c>
      <c r="G481" s="3" t="s">
        <v>2862</v>
      </c>
      <c r="H481" s="3" t="s">
        <v>16</v>
      </c>
      <c r="I481" s="3" t="s">
        <v>2865</v>
      </c>
    </row>
    <row r="482" spans="1:9">
      <c r="A482" s="3" t="s">
        <v>1000</v>
      </c>
      <c r="B482" s="3" t="s">
        <v>2870</v>
      </c>
      <c r="C482" s="3" t="s">
        <v>2547</v>
      </c>
      <c r="D482" s="3" t="s">
        <v>685</v>
      </c>
      <c r="E482" s="3" t="s">
        <v>2871</v>
      </c>
      <c r="F482" s="3" t="s">
        <v>38</v>
      </c>
      <c r="G482" s="3" t="s">
        <v>2872</v>
      </c>
      <c r="H482" s="3" t="s">
        <v>16</v>
      </c>
      <c r="I482" s="3" t="s">
        <v>2873</v>
      </c>
    </row>
    <row r="483" spans="1:9">
      <c r="A483" s="3" t="s">
        <v>1000</v>
      </c>
      <c r="B483" s="3" t="s">
        <v>2604</v>
      </c>
      <c r="C483" s="3" t="s">
        <v>2547</v>
      </c>
      <c r="D483" s="3" t="s">
        <v>2878</v>
      </c>
      <c r="E483" s="3" t="s">
        <v>2879</v>
      </c>
      <c r="F483" s="3" t="s">
        <v>217</v>
      </c>
      <c r="G483" s="3" t="s">
        <v>2880</v>
      </c>
      <c r="H483" s="3" t="s">
        <v>16</v>
      </c>
      <c r="I483" s="3" t="s">
        <v>2881</v>
      </c>
    </row>
    <row r="484" spans="1:9">
      <c r="A484" s="3" t="s">
        <v>1000</v>
      </c>
      <c r="B484" s="3" t="s">
        <v>2886</v>
      </c>
      <c r="C484" s="3" t="s">
        <v>2547</v>
      </c>
      <c r="D484" s="3" t="s">
        <v>2887</v>
      </c>
      <c r="E484" s="3" t="s">
        <v>2888</v>
      </c>
      <c r="F484" s="3" t="s">
        <v>217</v>
      </c>
      <c r="G484" s="3" t="s">
        <v>2889</v>
      </c>
      <c r="H484" s="3" t="s">
        <v>323</v>
      </c>
      <c r="I484" s="3" t="s">
        <v>2890</v>
      </c>
    </row>
    <row r="485" spans="1:9">
      <c r="A485" s="3" t="s">
        <v>1000</v>
      </c>
      <c r="B485" s="3" t="s">
        <v>1533</v>
      </c>
      <c r="C485" s="3" t="s">
        <v>2547</v>
      </c>
      <c r="D485" s="3" t="s">
        <v>2891</v>
      </c>
      <c r="E485" s="3" t="s">
        <v>2892</v>
      </c>
      <c r="F485" s="3" t="s">
        <v>38</v>
      </c>
      <c r="G485" s="3" t="s">
        <v>2607</v>
      </c>
      <c r="H485" s="3" t="s">
        <v>16</v>
      </c>
      <c r="I485" s="3" t="s">
        <v>2893</v>
      </c>
    </row>
    <row r="486" spans="1:9">
      <c r="A486" s="3" t="s">
        <v>1000</v>
      </c>
      <c r="B486" s="3" t="s">
        <v>2900</v>
      </c>
      <c r="C486" s="3" t="s">
        <v>2547</v>
      </c>
      <c r="D486" s="3" t="s">
        <v>1925</v>
      </c>
      <c r="E486" s="3" t="s">
        <v>182</v>
      </c>
      <c r="F486" s="3" t="s">
        <v>38</v>
      </c>
      <c r="G486" s="3" t="s">
        <v>1051</v>
      </c>
      <c r="H486" s="3" t="s">
        <v>16</v>
      </c>
      <c r="I486" s="3" t="s">
        <v>2901</v>
      </c>
    </row>
    <row r="487" spans="1:9">
      <c r="A487" s="3" t="s">
        <v>1000</v>
      </c>
      <c r="B487" s="3" t="s">
        <v>2831</v>
      </c>
      <c r="C487" s="3" t="s">
        <v>2547</v>
      </c>
      <c r="D487" s="3" t="s">
        <v>1228</v>
      </c>
      <c r="E487" s="3" t="s">
        <v>2902</v>
      </c>
      <c r="F487" s="3" t="s">
        <v>217</v>
      </c>
      <c r="G487" s="3" t="s">
        <v>2903</v>
      </c>
      <c r="H487" s="3" t="s">
        <v>16</v>
      </c>
      <c r="I487" s="3" t="s">
        <v>2904</v>
      </c>
    </row>
    <row r="488" spans="1:9">
      <c r="A488" s="3" t="s">
        <v>1000</v>
      </c>
      <c r="B488" s="3" t="s">
        <v>1585</v>
      </c>
      <c r="C488" s="3" t="s">
        <v>2547</v>
      </c>
      <c r="D488" s="3" t="s">
        <v>2935</v>
      </c>
      <c r="E488" s="3" t="s">
        <v>2936</v>
      </c>
      <c r="F488" s="3" t="s">
        <v>217</v>
      </c>
      <c r="G488" s="3" t="s">
        <v>433</v>
      </c>
      <c r="H488" s="3" t="s">
        <v>16</v>
      </c>
      <c r="I488" s="3" t="s">
        <v>2937</v>
      </c>
    </row>
    <row r="489" spans="1:9">
      <c r="A489" s="3" t="s">
        <v>1000</v>
      </c>
      <c r="B489" s="3" t="s">
        <v>2938</v>
      </c>
      <c r="C489" s="3" t="s">
        <v>2547</v>
      </c>
      <c r="D489" s="3" t="s">
        <v>358</v>
      </c>
      <c r="E489" s="3" t="s">
        <v>2939</v>
      </c>
      <c r="F489" s="3" t="s">
        <v>38</v>
      </c>
      <c r="G489" s="3" t="s">
        <v>607</v>
      </c>
      <c r="H489" s="3" t="s">
        <v>16</v>
      </c>
      <c r="I489" s="3" t="s">
        <v>2940</v>
      </c>
    </row>
    <row r="490" spans="1:9">
      <c r="A490" s="3" t="s">
        <v>1000</v>
      </c>
      <c r="B490" s="3" t="s">
        <v>2947</v>
      </c>
      <c r="C490" s="3" t="s">
        <v>2547</v>
      </c>
      <c r="D490" s="3" t="s">
        <v>2948</v>
      </c>
      <c r="E490" s="3" t="s">
        <v>2713</v>
      </c>
      <c r="F490" s="3" t="s">
        <v>38</v>
      </c>
      <c r="G490" s="3" t="s">
        <v>2949</v>
      </c>
      <c r="H490" s="3" t="s">
        <v>16</v>
      </c>
      <c r="I490" s="3" t="s">
        <v>2950</v>
      </c>
    </row>
    <row r="491" spans="1:9">
      <c r="A491" s="3" t="s">
        <v>1000</v>
      </c>
      <c r="B491" s="3" t="s">
        <v>2951</v>
      </c>
      <c r="C491" s="3" t="s">
        <v>2547</v>
      </c>
      <c r="D491" s="3" t="s">
        <v>336</v>
      </c>
      <c r="E491" s="3" t="s">
        <v>2952</v>
      </c>
      <c r="F491" s="3" t="s">
        <v>38</v>
      </c>
      <c r="G491" s="3" t="s">
        <v>2953</v>
      </c>
      <c r="H491" s="3" t="s">
        <v>16</v>
      </c>
      <c r="I491" s="3" t="s">
        <v>2954</v>
      </c>
    </row>
    <row r="492" spans="1:9">
      <c r="A492" s="3" t="s">
        <v>1000</v>
      </c>
      <c r="B492" s="3" t="s">
        <v>2963</v>
      </c>
      <c r="C492" s="3" t="s">
        <v>2547</v>
      </c>
      <c r="D492" s="3" t="s">
        <v>595</v>
      </c>
      <c r="E492" s="3" t="s">
        <v>2964</v>
      </c>
      <c r="F492" s="3" t="s">
        <v>217</v>
      </c>
      <c r="G492" s="3" t="s">
        <v>2965</v>
      </c>
      <c r="H492" s="3" t="s">
        <v>16</v>
      </c>
      <c r="I492" s="3" t="s">
        <v>2966</v>
      </c>
    </row>
    <row r="493" spans="1:9">
      <c r="A493" s="3" t="s">
        <v>1000</v>
      </c>
      <c r="B493" s="3" t="s">
        <v>2639</v>
      </c>
      <c r="C493" s="3" t="s">
        <v>2547</v>
      </c>
      <c r="D493" s="3" t="s">
        <v>116</v>
      </c>
      <c r="E493" s="3" t="s">
        <v>2846</v>
      </c>
      <c r="F493" s="3" t="s">
        <v>217</v>
      </c>
      <c r="G493" s="3" t="s">
        <v>620</v>
      </c>
      <c r="H493" s="3" t="s">
        <v>16</v>
      </c>
      <c r="I493" s="3" t="s">
        <v>2967</v>
      </c>
    </row>
    <row r="494" spans="1:9">
      <c r="A494" s="3" t="s">
        <v>1000</v>
      </c>
      <c r="B494" s="3" t="s">
        <v>2676</v>
      </c>
      <c r="C494" s="3" t="s">
        <v>2547</v>
      </c>
      <c r="D494" s="3" t="s">
        <v>2968</v>
      </c>
      <c r="E494" s="3" t="s">
        <v>2969</v>
      </c>
      <c r="F494" s="3" t="s">
        <v>217</v>
      </c>
      <c r="G494" s="3" t="s">
        <v>433</v>
      </c>
      <c r="H494" s="3" t="s">
        <v>16</v>
      </c>
      <c r="I494" s="3" t="s">
        <v>2970</v>
      </c>
    </row>
    <row r="495" spans="1:9">
      <c r="A495" s="3" t="s">
        <v>1000</v>
      </c>
      <c r="B495" s="3" t="s">
        <v>2975</v>
      </c>
      <c r="C495" s="3" t="s">
        <v>2547</v>
      </c>
      <c r="D495" s="3" t="s">
        <v>336</v>
      </c>
      <c r="E495" s="3" t="s">
        <v>2976</v>
      </c>
      <c r="F495" s="3" t="s">
        <v>217</v>
      </c>
      <c r="G495" s="3" t="s">
        <v>2977</v>
      </c>
      <c r="H495" s="3" t="s">
        <v>16</v>
      </c>
      <c r="I495" s="3" t="s">
        <v>2978</v>
      </c>
    </row>
    <row r="496" spans="1:9">
      <c r="A496" s="3" t="s">
        <v>1000</v>
      </c>
      <c r="B496" s="3" t="s">
        <v>2982</v>
      </c>
      <c r="C496" s="3" t="s">
        <v>2547</v>
      </c>
      <c r="D496" s="3" t="s">
        <v>2983</v>
      </c>
      <c r="E496" s="3" t="s">
        <v>2984</v>
      </c>
      <c r="F496" s="3" t="s">
        <v>217</v>
      </c>
      <c r="G496" s="3" t="s">
        <v>2985</v>
      </c>
      <c r="H496" s="3" t="s">
        <v>323</v>
      </c>
      <c r="I496" s="3" t="s">
        <v>2986</v>
      </c>
    </row>
    <row r="497" spans="1:9">
      <c r="A497" s="3" t="s">
        <v>1000</v>
      </c>
      <c r="B497" s="3" t="s">
        <v>2997</v>
      </c>
      <c r="C497" s="3" t="s">
        <v>2547</v>
      </c>
      <c r="D497" s="3" t="s">
        <v>1470</v>
      </c>
      <c r="E497" s="3" t="s">
        <v>2998</v>
      </c>
      <c r="F497" s="3" t="s">
        <v>217</v>
      </c>
      <c r="G497" s="3" t="s">
        <v>2999</v>
      </c>
      <c r="H497" s="3" t="s">
        <v>16</v>
      </c>
      <c r="I497" s="3" t="s">
        <v>3000</v>
      </c>
    </row>
    <row r="498" spans="1:9">
      <c r="A498" s="3" t="s">
        <v>1000</v>
      </c>
      <c r="B498" s="3" t="s">
        <v>2596</v>
      </c>
      <c r="C498" s="3" t="s">
        <v>2547</v>
      </c>
      <c r="D498" s="3" t="s">
        <v>530</v>
      </c>
      <c r="E498" s="3" t="s">
        <v>3001</v>
      </c>
      <c r="F498" s="3" t="s">
        <v>14</v>
      </c>
      <c r="G498" s="3" t="s">
        <v>3002</v>
      </c>
      <c r="H498" s="3" t="s">
        <v>323</v>
      </c>
      <c r="I498" s="3" t="s">
        <v>3003</v>
      </c>
    </row>
    <row r="499" spans="1:9">
      <c r="A499" s="3" t="s">
        <v>1000</v>
      </c>
      <c r="B499" s="3" t="s">
        <v>3004</v>
      </c>
      <c r="C499" s="3" t="s">
        <v>2547</v>
      </c>
      <c r="D499" s="3" t="s">
        <v>553</v>
      </c>
      <c r="E499" s="3" t="s">
        <v>3005</v>
      </c>
      <c r="F499" s="3" t="s">
        <v>217</v>
      </c>
      <c r="G499" s="3" t="s">
        <v>3006</v>
      </c>
      <c r="H499" s="3" t="s">
        <v>323</v>
      </c>
      <c r="I499" s="3" t="s">
        <v>3007</v>
      </c>
    </row>
    <row r="500" spans="1:9">
      <c r="A500" s="3" t="s">
        <v>1000</v>
      </c>
      <c r="B500" s="3" t="s">
        <v>3008</v>
      </c>
      <c r="C500" s="3" t="s">
        <v>2547</v>
      </c>
      <c r="D500" s="3" t="s">
        <v>659</v>
      </c>
      <c r="E500" s="3" t="s">
        <v>3009</v>
      </c>
      <c r="F500" s="3" t="s">
        <v>38</v>
      </c>
      <c r="G500" s="3" t="s">
        <v>3010</v>
      </c>
      <c r="H500" s="3" t="s">
        <v>16</v>
      </c>
      <c r="I500" s="3" t="s">
        <v>3011</v>
      </c>
    </row>
    <row r="501" spans="1:9">
      <c r="A501" s="3" t="s">
        <v>1000</v>
      </c>
      <c r="B501" s="3" t="s">
        <v>3015</v>
      </c>
      <c r="C501" s="3" t="s">
        <v>2547</v>
      </c>
      <c r="D501" s="3" t="s">
        <v>103</v>
      </c>
      <c r="E501" s="3" t="s">
        <v>3016</v>
      </c>
      <c r="F501" s="3" t="s">
        <v>217</v>
      </c>
      <c r="G501" s="3" t="s">
        <v>3017</v>
      </c>
      <c r="H501" s="3" t="s">
        <v>16</v>
      </c>
      <c r="I501" s="3" t="s">
        <v>3018</v>
      </c>
    </row>
    <row r="502" spans="1:9">
      <c r="A502" s="3" t="s">
        <v>1000</v>
      </c>
      <c r="B502" s="3" t="s">
        <v>3029</v>
      </c>
      <c r="C502" s="3" t="s">
        <v>2547</v>
      </c>
      <c r="D502" s="3" t="s">
        <v>165</v>
      </c>
      <c r="E502" s="3" t="s">
        <v>3030</v>
      </c>
      <c r="F502" s="3" t="s">
        <v>14</v>
      </c>
      <c r="G502" s="3" t="s">
        <v>3031</v>
      </c>
      <c r="H502" s="3" t="s">
        <v>323</v>
      </c>
      <c r="I502" s="3" t="s">
        <v>3032</v>
      </c>
    </row>
    <row r="503" spans="1:9">
      <c r="A503" s="3" t="s">
        <v>1000</v>
      </c>
      <c r="B503" s="3" t="s">
        <v>3078</v>
      </c>
      <c r="C503" s="3" t="s">
        <v>2547</v>
      </c>
      <c r="D503" s="3" t="s">
        <v>3079</v>
      </c>
      <c r="E503" s="3" t="s">
        <v>3080</v>
      </c>
      <c r="F503" s="3" t="s">
        <v>38</v>
      </c>
      <c r="G503" s="3" t="s">
        <v>3081</v>
      </c>
      <c r="H503" s="3" t="s">
        <v>323</v>
      </c>
      <c r="I503" s="3" t="s">
        <v>3082</v>
      </c>
    </row>
    <row r="504" spans="1:9">
      <c r="A504" s="3" t="s">
        <v>1000</v>
      </c>
      <c r="B504" s="3" t="s">
        <v>3086</v>
      </c>
      <c r="C504" s="3" t="s">
        <v>2547</v>
      </c>
      <c r="D504" s="3" t="s">
        <v>3087</v>
      </c>
      <c r="E504" s="3" t="s">
        <v>3088</v>
      </c>
      <c r="F504" s="3" t="s">
        <v>38</v>
      </c>
      <c r="G504" s="3" t="s">
        <v>1466</v>
      </c>
      <c r="H504" s="3" t="s">
        <v>16</v>
      </c>
      <c r="I504" s="3" t="s">
        <v>3089</v>
      </c>
    </row>
    <row r="505" spans="1:9">
      <c r="A505" s="3" t="s">
        <v>1000</v>
      </c>
      <c r="B505" s="3" t="s">
        <v>2664</v>
      </c>
      <c r="C505" s="3" t="s">
        <v>2547</v>
      </c>
      <c r="D505" s="3" t="s">
        <v>313</v>
      </c>
      <c r="E505" s="3" t="s">
        <v>3090</v>
      </c>
      <c r="F505" s="3" t="s">
        <v>38</v>
      </c>
      <c r="G505" s="3" t="s">
        <v>3091</v>
      </c>
      <c r="H505" s="3" t="s">
        <v>16</v>
      </c>
      <c r="I505" s="3" t="s">
        <v>3092</v>
      </c>
    </row>
    <row r="506" spans="1:9">
      <c r="A506" s="3" t="s">
        <v>1000</v>
      </c>
      <c r="B506" s="3" t="s">
        <v>2639</v>
      </c>
      <c r="C506" s="3" t="s">
        <v>2547</v>
      </c>
      <c r="D506" s="3" t="s">
        <v>348</v>
      </c>
      <c r="E506" s="3" t="s">
        <v>3093</v>
      </c>
      <c r="F506" s="3" t="s">
        <v>217</v>
      </c>
      <c r="G506" s="3" t="s">
        <v>3094</v>
      </c>
      <c r="H506" s="3" t="s">
        <v>16</v>
      </c>
      <c r="I506" s="3" t="s">
        <v>3095</v>
      </c>
    </row>
    <row r="507" spans="1:9">
      <c r="A507" s="3" t="s">
        <v>1000</v>
      </c>
      <c r="B507" s="3" t="s">
        <v>3096</v>
      </c>
      <c r="C507" s="3" t="s">
        <v>2547</v>
      </c>
      <c r="D507" s="3" t="s">
        <v>885</v>
      </c>
      <c r="E507" s="3" t="s">
        <v>3097</v>
      </c>
      <c r="F507" s="3" t="s">
        <v>217</v>
      </c>
      <c r="G507" s="3" t="s">
        <v>620</v>
      </c>
      <c r="H507" s="3" t="s">
        <v>16</v>
      </c>
      <c r="I507" s="3" t="s">
        <v>3098</v>
      </c>
    </row>
    <row r="508" spans="1:9">
      <c r="A508" s="3" t="s">
        <v>1000</v>
      </c>
      <c r="B508" s="3" t="s">
        <v>3110</v>
      </c>
      <c r="C508" s="3" t="s">
        <v>2547</v>
      </c>
      <c r="D508" s="3" t="s">
        <v>271</v>
      </c>
      <c r="E508" s="3" t="s">
        <v>3111</v>
      </c>
      <c r="F508" s="3" t="s">
        <v>217</v>
      </c>
      <c r="G508" s="3" t="s">
        <v>3112</v>
      </c>
      <c r="H508" s="3" t="s">
        <v>16</v>
      </c>
      <c r="I508" s="3" t="s">
        <v>3113</v>
      </c>
    </row>
    <row r="509" spans="1:9">
      <c r="A509" s="3" t="s">
        <v>1000</v>
      </c>
      <c r="B509" s="3" t="s">
        <v>2639</v>
      </c>
      <c r="C509" s="3" t="s">
        <v>2547</v>
      </c>
      <c r="D509" s="3" t="s">
        <v>165</v>
      </c>
      <c r="E509" s="3" t="s">
        <v>3123</v>
      </c>
      <c r="F509" s="3" t="s">
        <v>217</v>
      </c>
      <c r="G509" s="3" t="s">
        <v>3124</v>
      </c>
      <c r="H509" s="3" t="s">
        <v>16</v>
      </c>
      <c r="I509" s="3" t="s">
        <v>3125</v>
      </c>
    </row>
    <row r="510" spans="1:9">
      <c r="A510" s="3" t="s">
        <v>1000</v>
      </c>
      <c r="B510" s="3" t="s">
        <v>2672</v>
      </c>
      <c r="C510" s="3" t="s">
        <v>2547</v>
      </c>
      <c r="D510" s="3" t="s">
        <v>41</v>
      </c>
      <c r="E510" s="3" t="s">
        <v>3126</v>
      </c>
      <c r="F510" s="3" t="s">
        <v>217</v>
      </c>
      <c r="G510" s="3" t="s">
        <v>3127</v>
      </c>
      <c r="H510" s="3" t="s">
        <v>16</v>
      </c>
      <c r="I510" s="3" t="s">
        <v>3128</v>
      </c>
    </row>
    <row r="511" spans="1:9">
      <c r="A511" s="3" t="s">
        <v>1000</v>
      </c>
      <c r="B511" s="3" t="s">
        <v>2672</v>
      </c>
      <c r="C511" s="3" t="s">
        <v>2547</v>
      </c>
      <c r="D511" s="3" t="s">
        <v>1947</v>
      </c>
      <c r="E511" s="3" t="s">
        <v>3143</v>
      </c>
      <c r="F511" s="3" t="s">
        <v>217</v>
      </c>
      <c r="G511" s="3" t="s">
        <v>3144</v>
      </c>
      <c r="H511" s="3" t="s">
        <v>16</v>
      </c>
      <c r="I511" s="3" t="s">
        <v>3145</v>
      </c>
    </row>
    <row r="512" spans="1:9">
      <c r="A512" s="3" t="s">
        <v>1000</v>
      </c>
      <c r="B512" s="3" t="s">
        <v>2664</v>
      </c>
      <c r="C512" s="3" t="s">
        <v>2547</v>
      </c>
      <c r="D512" s="3" t="s">
        <v>1634</v>
      </c>
      <c r="E512" s="3" t="s">
        <v>3146</v>
      </c>
      <c r="F512" s="3" t="s">
        <v>217</v>
      </c>
      <c r="G512" s="3" t="s">
        <v>3147</v>
      </c>
      <c r="H512" s="3" t="s">
        <v>16</v>
      </c>
      <c r="I512" s="3" t="s">
        <v>3148</v>
      </c>
    </row>
    <row r="513" spans="1:9">
      <c r="A513" s="3" t="s">
        <v>1000</v>
      </c>
      <c r="B513" s="3" t="s">
        <v>2672</v>
      </c>
      <c r="C513" s="3" t="s">
        <v>2547</v>
      </c>
      <c r="D513" s="3" t="s">
        <v>3167</v>
      </c>
      <c r="E513" s="3" t="s">
        <v>3168</v>
      </c>
      <c r="F513" s="3" t="s">
        <v>217</v>
      </c>
      <c r="G513" s="3" t="s">
        <v>3169</v>
      </c>
      <c r="H513" s="3" t="s">
        <v>16</v>
      </c>
      <c r="I513" s="3" t="s">
        <v>3170</v>
      </c>
    </row>
    <row r="514" spans="1:9">
      <c r="A514" s="3" t="s">
        <v>1000</v>
      </c>
      <c r="B514" s="3" t="s">
        <v>2633</v>
      </c>
      <c r="C514" s="3" t="s">
        <v>2547</v>
      </c>
      <c r="D514" s="3" t="s">
        <v>1460</v>
      </c>
      <c r="E514" s="3" t="s">
        <v>2828</v>
      </c>
      <c r="F514" s="3" t="s">
        <v>217</v>
      </c>
      <c r="G514" s="3" t="s">
        <v>620</v>
      </c>
      <c r="H514" s="3" t="s">
        <v>16</v>
      </c>
      <c r="I514" s="3" t="s">
        <v>3171</v>
      </c>
    </row>
    <row r="515" spans="1:9">
      <c r="A515" s="3" t="s">
        <v>1000</v>
      </c>
      <c r="B515" s="3" t="s">
        <v>3029</v>
      </c>
      <c r="C515" s="3" t="s">
        <v>2547</v>
      </c>
      <c r="D515" s="3" t="s">
        <v>509</v>
      </c>
      <c r="E515" s="3" t="s">
        <v>3218</v>
      </c>
      <c r="F515" s="3" t="s">
        <v>14</v>
      </c>
      <c r="G515" s="3" t="s">
        <v>3219</v>
      </c>
      <c r="H515" s="3" t="s">
        <v>16</v>
      </c>
      <c r="I515" s="3" t="s">
        <v>3220</v>
      </c>
    </row>
    <row r="516" spans="1:9">
      <c r="A516" s="3" t="s">
        <v>1000</v>
      </c>
      <c r="B516" s="3" t="s">
        <v>3225</v>
      </c>
      <c r="C516" s="3" t="s">
        <v>2547</v>
      </c>
      <c r="D516" s="3" t="s">
        <v>2834</v>
      </c>
      <c r="E516" s="3" t="s">
        <v>3226</v>
      </c>
      <c r="F516" s="3" t="s">
        <v>38</v>
      </c>
      <c r="G516" s="3" t="s">
        <v>3227</v>
      </c>
      <c r="H516" s="3" t="s">
        <v>16</v>
      </c>
      <c r="I516" s="3" t="s">
        <v>3228</v>
      </c>
    </row>
    <row r="517" spans="1:9">
      <c r="A517" s="3" t="s">
        <v>1000</v>
      </c>
      <c r="B517" s="3" t="s">
        <v>3096</v>
      </c>
      <c r="C517" s="3" t="s">
        <v>2547</v>
      </c>
      <c r="D517" s="3" t="s">
        <v>358</v>
      </c>
      <c r="E517" s="3" t="s">
        <v>3229</v>
      </c>
      <c r="F517" s="3" t="s">
        <v>38</v>
      </c>
      <c r="G517" s="3" t="s">
        <v>3230</v>
      </c>
      <c r="H517" s="3" t="s">
        <v>16</v>
      </c>
      <c r="I517" s="3" t="s">
        <v>3231</v>
      </c>
    </row>
    <row r="518" spans="1:9">
      <c r="A518" s="3" t="s">
        <v>1000</v>
      </c>
      <c r="B518" s="3" t="s">
        <v>2664</v>
      </c>
      <c r="C518" s="3" t="s">
        <v>2547</v>
      </c>
      <c r="D518" s="3" t="s">
        <v>3232</v>
      </c>
      <c r="E518" s="3" t="s">
        <v>3233</v>
      </c>
      <c r="F518" s="3" t="s">
        <v>38</v>
      </c>
      <c r="G518" s="3"/>
      <c r="H518" s="3" t="s">
        <v>16</v>
      </c>
      <c r="I518" s="3" t="s">
        <v>3234</v>
      </c>
    </row>
    <row r="519" spans="1:9">
      <c r="A519" s="3" t="s">
        <v>1000</v>
      </c>
      <c r="B519" s="3" t="s">
        <v>2664</v>
      </c>
      <c r="C519" s="3" t="s">
        <v>2547</v>
      </c>
      <c r="D519" s="3" t="s">
        <v>165</v>
      </c>
      <c r="E519" s="3" t="s">
        <v>3235</v>
      </c>
      <c r="F519" s="3" t="s">
        <v>38</v>
      </c>
      <c r="G519" s="3" t="s">
        <v>3236</v>
      </c>
      <c r="H519" s="3" t="s">
        <v>323</v>
      </c>
      <c r="I519" s="3" t="s">
        <v>3237</v>
      </c>
    </row>
    <row r="520" spans="1:9">
      <c r="A520" s="3" t="s">
        <v>1000</v>
      </c>
      <c r="B520" s="3" t="s">
        <v>2664</v>
      </c>
      <c r="C520" s="3" t="s">
        <v>2547</v>
      </c>
      <c r="D520" s="3" t="s">
        <v>107</v>
      </c>
      <c r="E520" s="3" t="s">
        <v>3238</v>
      </c>
      <c r="F520" s="3" t="s">
        <v>38</v>
      </c>
      <c r="G520" s="3" t="s">
        <v>3239</v>
      </c>
      <c r="H520" s="3" t="s">
        <v>16</v>
      </c>
      <c r="I520" s="3" t="s">
        <v>3240</v>
      </c>
    </row>
    <row r="521" spans="1:9">
      <c r="A521" s="3" t="s">
        <v>1000</v>
      </c>
      <c r="B521" s="3" t="s">
        <v>2664</v>
      </c>
      <c r="C521" s="3" t="s">
        <v>2547</v>
      </c>
      <c r="D521" s="3" t="s">
        <v>358</v>
      </c>
      <c r="E521" s="3" t="s">
        <v>3241</v>
      </c>
      <c r="F521" s="3" t="s">
        <v>38</v>
      </c>
      <c r="G521" s="3" t="s">
        <v>620</v>
      </c>
      <c r="H521" s="3" t="s">
        <v>16</v>
      </c>
      <c r="I521" s="3" t="s">
        <v>3242</v>
      </c>
    </row>
    <row r="522" spans="1:9">
      <c r="A522" s="3" t="s">
        <v>1000</v>
      </c>
      <c r="B522" s="3" t="s">
        <v>2672</v>
      </c>
      <c r="C522" s="3" t="s">
        <v>2547</v>
      </c>
      <c r="D522" s="3" t="s">
        <v>250</v>
      </c>
      <c r="E522" s="3" t="s">
        <v>3243</v>
      </c>
      <c r="F522" s="3" t="s">
        <v>38</v>
      </c>
      <c r="G522" s="3" t="s">
        <v>620</v>
      </c>
      <c r="H522" s="3" t="s">
        <v>16</v>
      </c>
      <c r="I522" s="3" t="s">
        <v>3244</v>
      </c>
    </row>
    <row r="523" spans="1:9">
      <c r="A523" s="3" t="s">
        <v>1000</v>
      </c>
      <c r="B523" s="3" t="s">
        <v>2633</v>
      </c>
      <c r="C523" s="3" t="s">
        <v>2547</v>
      </c>
      <c r="D523" s="3" t="s">
        <v>2449</v>
      </c>
      <c r="E523" s="3" t="s">
        <v>3249</v>
      </c>
      <c r="F523" s="3" t="s">
        <v>38</v>
      </c>
      <c r="G523" s="3" t="s">
        <v>3250</v>
      </c>
      <c r="H523" s="3" t="s">
        <v>16</v>
      </c>
      <c r="I523" s="3" t="s">
        <v>3251</v>
      </c>
    </row>
    <row r="524" spans="1:9">
      <c r="A524" s="3" t="s">
        <v>1000</v>
      </c>
      <c r="B524" s="3" t="s">
        <v>2982</v>
      </c>
      <c r="C524" s="3" t="s">
        <v>2547</v>
      </c>
      <c r="D524" s="3" t="s">
        <v>3252</v>
      </c>
      <c r="E524" s="3" t="s">
        <v>3253</v>
      </c>
      <c r="F524" s="3" t="s">
        <v>38</v>
      </c>
      <c r="G524" s="3" t="s">
        <v>3254</v>
      </c>
      <c r="H524" s="3" t="s">
        <v>16</v>
      </c>
      <c r="I524" s="3" t="s">
        <v>3255</v>
      </c>
    </row>
    <row r="525" spans="1:9">
      <c r="A525" s="3" t="s">
        <v>1000</v>
      </c>
      <c r="B525" s="3" t="s">
        <v>2604</v>
      </c>
      <c r="C525" s="3" t="s">
        <v>2547</v>
      </c>
      <c r="D525" s="3" t="s">
        <v>509</v>
      </c>
      <c r="E525" s="3" t="s">
        <v>3256</v>
      </c>
      <c r="F525" s="3" t="s">
        <v>38</v>
      </c>
      <c r="G525" s="3" t="s">
        <v>3257</v>
      </c>
      <c r="H525" s="3" t="s">
        <v>16</v>
      </c>
      <c r="I525" s="3" t="s">
        <v>3258</v>
      </c>
    </row>
    <row r="526" spans="1:9">
      <c r="A526" s="3" t="s">
        <v>1000</v>
      </c>
      <c r="B526" s="3" t="s">
        <v>2604</v>
      </c>
      <c r="C526" s="3" t="s">
        <v>2547</v>
      </c>
      <c r="D526" s="3" t="s">
        <v>3259</v>
      </c>
      <c r="E526" s="3" t="s">
        <v>3260</v>
      </c>
      <c r="F526" s="3" t="s">
        <v>38</v>
      </c>
      <c r="G526" s="3" t="s">
        <v>3261</v>
      </c>
      <c r="H526" s="3" t="s">
        <v>16</v>
      </c>
      <c r="I526" s="3" t="s">
        <v>3262</v>
      </c>
    </row>
    <row r="527" spans="1:9">
      <c r="A527" s="3" t="s">
        <v>1000</v>
      </c>
      <c r="B527" s="3" t="s">
        <v>2604</v>
      </c>
      <c r="C527" s="3" t="s">
        <v>2547</v>
      </c>
      <c r="D527" s="3" t="s">
        <v>3263</v>
      </c>
      <c r="E527" s="3" t="s">
        <v>3264</v>
      </c>
      <c r="F527" s="3" t="s">
        <v>38</v>
      </c>
      <c r="G527" s="3" t="s">
        <v>3265</v>
      </c>
      <c r="H527" s="3" t="s">
        <v>16</v>
      </c>
      <c r="I527" s="3" t="s">
        <v>3266</v>
      </c>
    </row>
    <row r="528" spans="1:9">
      <c r="A528" s="3" t="s">
        <v>1000</v>
      </c>
      <c r="B528" s="3" t="s">
        <v>2604</v>
      </c>
      <c r="C528" s="3" t="s">
        <v>2547</v>
      </c>
      <c r="D528" s="3" t="s">
        <v>2109</v>
      </c>
      <c r="E528" s="3" t="s">
        <v>3267</v>
      </c>
      <c r="F528" s="3" t="s">
        <v>38</v>
      </c>
      <c r="G528" s="3" t="s">
        <v>3268</v>
      </c>
      <c r="H528" s="3" t="s">
        <v>16</v>
      </c>
      <c r="I528" s="3" t="s">
        <v>3269</v>
      </c>
    </row>
    <row r="529" spans="1:9">
      <c r="A529" s="3" t="s">
        <v>1000</v>
      </c>
      <c r="B529" s="3" t="s">
        <v>2604</v>
      </c>
      <c r="C529" s="3" t="s">
        <v>2547</v>
      </c>
      <c r="D529" s="3" t="s">
        <v>1526</v>
      </c>
      <c r="E529" s="3" t="s">
        <v>182</v>
      </c>
      <c r="F529" s="3" t="s">
        <v>38</v>
      </c>
      <c r="G529" s="3" t="s">
        <v>620</v>
      </c>
      <c r="H529" s="3" t="s">
        <v>16</v>
      </c>
      <c r="I529" s="3" t="s">
        <v>3270</v>
      </c>
    </row>
    <row r="530" spans="1:9">
      <c r="A530" s="3" t="s">
        <v>1000</v>
      </c>
      <c r="B530" s="3" t="s">
        <v>2604</v>
      </c>
      <c r="C530" s="3" t="s">
        <v>2547</v>
      </c>
      <c r="D530" s="3" t="s">
        <v>3271</v>
      </c>
      <c r="E530" s="3" t="s">
        <v>3272</v>
      </c>
      <c r="F530" s="3" t="s">
        <v>38</v>
      </c>
      <c r="G530" s="3" t="s">
        <v>3273</v>
      </c>
      <c r="H530" s="3" t="s">
        <v>16</v>
      </c>
      <c r="I530" s="3" t="s">
        <v>3274</v>
      </c>
    </row>
    <row r="531" spans="1:9">
      <c r="A531" s="3" t="s">
        <v>1000</v>
      </c>
      <c r="B531" s="3" t="s">
        <v>2604</v>
      </c>
      <c r="C531" s="3" t="s">
        <v>2547</v>
      </c>
      <c r="D531" s="3" t="s">
        <v>809</v>
      </c>
      <c r="E531" s="3" t="s">
        <v>3275</v>
      </c>
      <c r="F531" s="3" t="s">
        <v>38</v>
      </c>
      <c r="G531" s="3" t="s">
        <v>3276</v>
      </c>
      <c r="H531" s="3" t="s">
        <v>16</v>
      </c>
      <c r="I531" s="3" t="s">
        <v>3277</v>
      </c>
    </row>
    <row r="532" spans="1:9">
      <c r="A532" s="3" t="s">
        <v>1000</v>
      </c>
      <c r="B532" s="3" t="s">
        <v>2831</v>
      </c>
      <c r="C532" s="3" t="s">
        <v>2547</v>
      </c>
      <c r="D532" s="3" t="s">
        <v>3278</v>
      </c>
      <c r="E532" s="3" t="s">
        <v>1124</v>
      </c>
      <c r="F532" s="3" t="s">
        <v>38</v>
      </c>
      <c r="G532" s="3" t="s">
        <v>3279</v>
      </c>
      <c r="H532" s="3" t="s">
        <v>16</v>
      </c>
      <c r="I532" s="3" t="s">
        <v>3280</v>
      </c>
    </row>
    <row r="533" spans="1:9">
      <c r="A533" s="3" t="s">
        <v>1000</v>
      </c>
      <c r="B533" s="3" t="s">
        <v>3281</v>
      </c>
      <c r="C533" s="3" t="s">
        <v>2547</v>
      </c>
      <c r="D533" s="3" t="s">
        <v>75</v>
      </c>
      <c r="E533" s="3" t="s">
        <v>3282</v>
      </c>
      <c r="F533" s="3" t="s">
        <v>38</v>
      </c>
      <c r="G533" s="3"/>
      <c r="H533" s="3" t="s">
        <v>16</v>
      </c>
      <c r="I533" s="3" t="s">
        <v>3283</v>
      </c>
    </row>
    <row r="534" spans="1:9">
      <c r="A534" s="3" t="s">
        <v>1000</v>
      </c>
      <c r="B534" s="3" t="s">
        <v>3281</v>
      </c>
      <c r="C534" s="3" t="s">
        <v>2547</v>
      </c>
      <c r="D534" s="3" t="s">
        <v>125</v>
      </c>
      <c r="E534" s="3" t="s">
        <v>3284</v>
      </c>
      <c r="F534" s="3" t="s">
        <v>38</v>
      </c>
      <c r="G534" s="3"/>
      <c r="H534" s="3" t="s">
        <v>16</v>
      </c>
      <c r="I534" s="3" t="s">
        <v>3285</v>
      </c>
    </row>
    <row r="535" spans="1:9">
      <c r="A535" s="3" t="s">
        <v>1000</v>
      </c>
      <c r="B535" s="3" t="s">
        <v>2650</v>
      </c>
      <c r="C535" s="3" t="s">
        <v>2547</v>
      </c>
      <c r="D535" s="3" t="s">
        <v>3286</v>
      </c>
      <c r="E535" s="3" t="s">
        <v>1322</v>
      </c>
      <c r="F535" s="3" t="s">
        <v>38</v>
      </c>
      <c r="G535" s="3" t="s">
        <v>3287</v>
      </c>
      <c r="H535" s="3" t="s">
        <v>16</v>
      </c>
      <c r="I535" s="3" t="s">
        <v>3288</v>
      </c>
    </row>
    <row r="536" spans="1:9">
      <c r="A536" s="3" t="s">
        <v>1000</v>
      </c>
      <c r="B536" s="3" t="s">
        <v>2676</v>
      </c>
      <c r="C536" s="3" t="s">
        <v>2547</v>
      </c>
      <c r="D536" s="3" t="s">
        <v>36</v>
      </c>
      <c r="E536" s="3" t="s">
        <v>3289</v>
      </c>
      <c r="F536" s="3" t="s">
        <v>38</v>
      </c>
      <c r="G536" s="3" t="s">
        <v>385</v>
      </c>
      <c r="H536" s="3" t="s">
        <v>16</v>
      </c>
      <c r="I536" s="3" t="s">
        <v>3290</v>
      </c>
    </row>
    <row r="537" spans="1:9">
      <c r="A537" s="3" t="s">
        <v>1000</v>
      </c>
      <c r="B537" s="3" t="s">
        <v>3078</v>
      </c>
      <c r="C537" s="3" t="s">
        <v>2547</v>
      </c>
      <c r="D537" s="3" t="s">
        <v>116</v>
      </c>
      <c r="E537" s="3" t="s">
        <v>1664</v>
      </c>
      <c r="F537" s="3" t="s">
        <v>38</v>
      </c>
      <c r="G537" s="3" t="s">
        <v>3294</v>
      </c>
      <c r="H537" s="3" t="s">
        <v>16</v>
      </c>
      <c r="I537" s="3" t="s">
        <v>3295</v>
      </c>
    </row>
    <row r="538" spans="1:9">
      <c r="A538" s="3" t="s">
        <v>1000</v>
      </c>
      <c r="B538" s="3" t="s">
        <v>2639</v>
      </c>
      <c r="C538" s="3" t="s">
        <v>2547</v>
      </c>
      <c r="D538" s="3" t="s">
        <v>316</v>
      </c>
      <c r="E538" s="3" t="s">
        <v>1354</v>
      </c>
      <c r="F538" s="3" t="s">
        <v>38</v>
      </c>
      <c r="G538" s="3" t="s">
        <v>3341</v>
      </c>
      <c r="H538" s="3" t="s">
        <v>16</v>
      </c>
      <c r="I538" s="3" t="s">
        <v>3342</v>
      </c>
    </row>
    <row r="539" spans="1:9">
      <c r="A539" s="3" t="s">
        <v>1000</v>
      </c>
      <c r="B539" s="3" t="s">
        <v>2596</v>
      </c>
      <c r="C539" s="3" t="s">
        <v>2547</v>
      </c>
      <c r="D539" s="3" t="s">
        <v>2597</v>
      </c>
      <c r="E539" s="3" t="s">
        <v>3343</v>
      </c>
      <c r="F539" s="3" t="s">
        <v>38</v>
      </c>
      <c r="G539" s="3" t="s">
        <v>3344</v>
      </c>
      <c r="H539" s="3" t="s">
        <v>16</v>
      </c>
      <c r="I539" s="3" t="s">
        <v>3345</v>
      </c>
    </row>
    <row r="540" spans="1:9">
      <c r="A540" s="3" t="s">
        <v>1000</v>
      </c>
      <c r="B540" s="3" t="s">
        <v>2596</v>
      </c>
      <c r="C540" s="3" t="s">
        <v>2547</v>
      </c>
      <c r="D540" s="3" t="s">
        <v>3346</v>
      </c>
      <c r="E540" s="3" t="s">
        <v>3347</v>
      </c>
      <c r="F540" s="3" t="s">
        <v>38</v>
      </c>
      <c r="G540" s="3" t="s">
        <v>3348</v>
      </c>
      <c r="H540" s="3" t="s">
        <v>16</v>
      </c>
      <c r="I540" s="3" t="s">
        <v>3349</v>
      </c>
    </row>
    <row r="541" spans="1:9">
      <c r="A541" s="3" t="s">
        <v>1000</v>
      </c>
      <c r="B541" s="3" t="s">
        <v>3373</v>
      </c>
      <c r="C541" s="3" t="s">
        <v>2547</v>
      </c>
      <c r="D541" s="3" t="s">
        <v>3374</v>
      </c>
      <c r="E541" s="3" t="s">
        <v>182</v>
      </c>
      <c r="F541" s="3" t="s">
        <v>38</v>
      </c>
      <c r="G541" s="3" t="s">
        <v>3375</v>
      </c>
      <c r="H541" s="3" t="s">
        <v>323</v>
      </c>
      <c r="I541" s="3" t="s">
        <v>3376</v>
      </c>
    </row>
    <row r="542" spans="1:9">
      <c r="A542" s="3" t="s">
        <v>1000</v>
      </c>
      <c r="B542" s="3" t="s">
        <v>2664</v>
      </c>
      <c r="C542" s="3" t="s">
        <v>2547</v>
      </c>
      <c r="D542" s="3" t="s">
        <v>282</v>
      </c>
      <c r="E542" s="3" t="s">
        <v>2007</v>
      </c>
      <c r="F542" s="3" t="s">
        <v>38</v>
      </c>
      <c r="G542" s="3" t="s">
        <v>3377</v>
      </c>
      <c r="H542" s="3" t="s">
        <v>323</v>
      </c>
      <c r="I542" s="3" t="s">
        <v>3378</v>
      </c>
    </row>
    <row r="543" spans="1:9">
      <c r="A543" s="3" t="s">
        <v>1000</v>
      </c>
      <c r="B543" s="3" t="s">
        <v>2664</v>
      </c>
      <c r="C543" s="3" t="s">
        <v>2547</v>
      </c>
      <c r="D543" s="3" t="s">
        <v>3379</v>
      </c>
      <c r="E543" s="3" t="s">
        <v>3380</v>
      </c>
      <c r="F543" s="3" t="s">
        <v>38</v>
      </c>
      <c r="G543" s="3" t="s">
        <v>3381</v>
      </c>
      <c r="H543" s="3" t="s">
        <v>323</v>
      </c>
      <c r="I543" s="3" t="s">
        <v>3382</v>
      </c>
    </row>
    <row r="544" spans="1:9">
      <c r="A544" s="3" t="s">
        <v>1000</v>
      </c>
      <c r="B544" s="3" t="s">
        <v>2982</v>
      </c>
      <c r="C544" s="3" t="s">
        <v>2547</v>
      </c>
      <c r="D544" s="3" t="s">
        <v>116</v>
      </c>
      <c r="E544" s="3" t="s">
        <v>1167</v>
      </c>
      <c r="F544" s="3" t="s">
        <v>38</v>
      </c>
      <c r="G544" s="3" t="s">
        <v>3279</v>
      </c>
      <c r="H544" s="3" t="s">
        <v>323</v>
      </c>
      <c r="I544" s="3" t="s">
        <v>3383</v>
      </c>
    </row>
    <row r="545" spans="1:9">
      <c r="A545" s="3" t="s">
        <v>1000</v>
      </c>
      <c r="B545" s="3" t="s">
        <v>2864</v>
      </c>
      <c r="C545" s="3" t="s">
        <v>2547</v>
      </c>
      <c r="D545" s="3" t="s">
        <v>125</v>
      </c>
      <c r="E545" s="3" t="s">
        <v>3387</v>
      </c>
      <c r="F545" s="3" t="s">
        <v>38</v>
      </c>
      <c r="G545" s="3" t="s">
        <v>3388</v>
      </c>
      <c r="H545" s="3" t="s">
        <v>16</v>
      </c>
      <c r="I545" s="3" t="s">
        <v>3389</v>
      </c>
    </row>
    <row r="546" spans="1:9">
      <c r="A546" s="3" t="s">
        <v>1000</v>
      </c>
      <c r="B546" s="3" t="s">
        <v>2672</v>
      </c>
      <c r="C546" s="3" t="s">
        <v>2547</v>
      </c>
      <c r="D546" s="3" t="s">
        <v>553</v>
      </c>
      <c r="E546" s="3" t="s">
        <v>2854</v>
      </c>
      <c r="F546" s="3" t="s">
        <v>38</v>
      </c>
      <c r="G546" s="3" t="s">
        <v>3390</v>
      </c>
      <c r="H546" s="3" t="s">
        <v>16</v>
      </c>
      <c r="I546" s="3" t="s">
        <v>3391</v>
      </c>
    </row>
    <row r="547" spans="1:9">
      <c r="A547" s="3" t="s">
        <v>1000</v>
      </c>
      <c r="B547" s="3" t="s">
        <v>2672</v>
      </c>
      <c r="C547" s="3" t="s">
        <v>2547</v>
      </c>
      <c r="D547" s="3" t="s">
        <v>239</v>
      </c>
      <c r="E547" s="3" t="s">
        <v>3392</v>
      </c>
      <c r="F547" s="3" t="s">
        <v>38</v>
      </c>
      <c r="G547" s="3" t="s">
        <v>823</v>
      </c>
      <c r="H547" s="3" t="s">
        <v>16</v>
      </c>
      <c r="I547" s="3" t="s">
        <v>3393</v>
      </c>
    </row>
    <row r="548" spans="1:9">
      <c r="A548" s="3" t="s">
        <v>1000</v>
      </c>
      <c r="B548" s="3" t="s">
        <v>3008</v>
      </c>
      <c r="C548" s="3" t="s">
        <v>2547</v>
      </c>
      <c r="D548" s="3" t="s">
        <v>3394</v>
      </c>
      <c r="E548" s="3" t="s">
        <v>3395</v>
      </c>
      <c r="F548" s="3" t="s">
        <v>38</v>
      </c>
      <c r="G548" s="3" t="s">
        <v>3396</v>
      </c>
      <c r="H548" s="3" t="s">
        <v>16</v>
      </c>
      <c r="I548" s="3" t="s">
        <v>3397</v>
      </c>
    </row>
    <row r="549" spans="1:9">
      <c r="A549" s="3" t="s">
        <v>1000</v>
      </c>
      <c r="B549" s="3" t="s">
        <v>2951</v>
      </c>
      <c r="C549" s="3" t="s">
        <v>2547</v>
      </c>
      <c r="D549" s="3" t="s">
        <v>3398</v>
      </c>
      <c r="E549" s="3" t="s">
        <v>1952</v>
      </c>
      <c r="F549" s="3" t="s">
        <v>38</v>
      </c>
      <c r="G549" s="3" t="s">
        <v>3399</v>
      </c>
      <c r="H549" s="3" t="s">
        <v>16</v>
      </c>
      <c r="I549" s="3" t="s">
        <v>3400</v>
      </c>
    </row>
    <row r="550" spans="1:9">
      <c r="A550" s="3" t="s">
        <v>1000</v>
      </c>
      <c r="B550" s="3" t="s">
        <v>3402</v>
      </c>
      <c r="C550" s="3" t="s">
        <v>2547</v>
      </c>
      <c r="D550" s="3" t="s">
        <v>3403</v>
      </c>
      <c r="E550" s="3" t="s">
        <v>3404</v>
      </c>
      <c r="F550" s="3" t="s">
        <v>38</v>
      </c>
      <c r="G550" s="3" t="s">
        <v>28</v>
      </c>
      <c r="H550" s="3" t="s">
        <v>16</v>
      </c>
      <c r="I550" s="3" t="s">
        <v>3405</v>
      </c>
    </row>
    <row r="551" spans="1:9">
      <c r="A551" s="3" t="s">
        <v>1000</v>
      </c>
      <c r="B551" s="3" t="s">
        <v>3406</v>
      </c>
      <c r="C551" s="3" t="s">
        <v>2547</v>
      </c>
      <c r="D551" s="3" t="s">
        <v>358</v>
      </c>
      <c r="E551" s="3" t="s">
        <v>1022</v>
      </c>
      <c r="F551" s="3" t="s">
        <v>38</v>
      </c>
      <c r="G551" s="3" t="s">
        <v>433</v>
      </c>
      <c r="H551" s="3" t="s">
        <v>16</v>
      </c>
      <c r="I551" s="3" t="s">
        <v>3407</v>
      </c>
    </row>
    <row r="552" spans="1:9">
      <c r="A552" s="3" t="s">
        <v>1000</v>
      </c>
      <c r="B552" s="3" t="s">
        <v>3408</v>
      </c>
      <c r="C552" s="3" t="s">
        <v>2547</v>
      </c>
      <c r="D552" s="3" t="s">
        <v>1276</v>
      </c>
      <c r="E552" s="3" t="s">
        <v>3409</v>
      </c>
      <c r="F552" s="3" t="s">
        <v>38</v>
      </c>
      <c r="G552" s="3" t="s">
        <v>674</v>
      </c>
      <c r="H552" s="3" t="s">
        <v>16</v>
      </c>
      <c r="I552" s="3" t="s">
        <v>3410</v>
      </c>
    </row>
    <row r="553" spans="1:9">
      <c r="A553" s="3" t="s">
        <v>1000</v>
      </c>
      <c r="B553" s="3" t="s">
        <v>3411</v>
      </c>
      <c r="C553" s="3" t="s">
        <v>2547</v>
      </c>
      <c r="D553" s="3" t="s">
        <v>107</v>
      </c>
      <c r="E553" s="3" t="s">
        <v>866</v>
      </c>
      <c r="F553" s="3" t="s">
        <v>38</v>
      </c>
      <c r="G553" s="3" t="s">
        <v>3412</v>
      </c>
      <c r="H553" s="3" t="s">
        <v>16</v>
      </c>
      <c r="I553" s="3" t="s">
        <v>3413</v>
      </c>
    </row>
    <row r="554" spans="1:9">
      <c r="A554" s="3" t="s">
        <v>1000</v>
      </c>
      <c r="B554" s="3" t="s">
        <v>3414</v>
      </c>
      <c r="C554" s="3" t="s">
        <v>2547</v>
      </c>
      <c r="D554" s="3" t="s">
        <v>553</v>
      </c>
      <c r="E554" s="3" t="s">
        <v>3415</v>
      </c>
      <c r="F554" s="3" t="s">
        <v>38</v>
      </c>
      <c r="G554" s="3" t="s">
        <v>823</v>
      </c>
      <c r="H554" s="3" t="s">
        <v>16</v>
      </c>
      <c r="I554" s="3" t="s">
        <v>3416</v>
      </c>
    </row>
    <row r="555" spans="1:9">
      <c r="A555" s="3" t="s">
        <v>1000</v>
      </c>
      <c r="B555" s="3" t="s">
        <v>3434</v>
      </c>
      <c r="C555" s="3" t="s">
        <v>2547</v>
      </c>
      <c r="D555" s="3" t="s">
        <v>165</v>
      </c>
      <c r="E555" s="3" t="s">
        <v>3435</v>
      </c>
      <c r="F555" s="3" t="s">
        <v>38</v>
      </c>
      <c r="G555" s="3" t="s">
        <v>602</v>
      </c>
      <c r="H555" s="3" t="s">
        <v>16</v>
      </c>
      <c r="I555" s="3" t="s">
        <v>3436</v>
      </c>
    </row>
    <row r="556" spans="1:9">
      <c r="A556" s="3" t="s">
        <v>1000</v>
      </c>
      <c r="B556" s="3" t="s">
        <v>1001</v>
      </c>
      <c r="C556" s="3" t="s">
        <v>2547</v>
      </c>
      <c r="D556" s="3" t="s">
        <v>155</v>
      </c>
      <c r="E556" s="3" t="s">
        <v>1707</v>
      </c>
      <c r="F556" s="3" t="s">
        <v>38</v>
      </c>
      <c r="G556" s="3" t="s">
        <v>3437</v>
      </c>
      <c r="H556" s="3" t="s">
        <v>16</v>
      </c>
      <c r="I556" s="3" t="s">
        <v>3438</v>
      </c>
    </row>
    <row r="557" spans="1:9">
      <c r="A557" s="3" t="s">
        <v>1000</v>
      </c>
      <c r="B557" s="3" t="s">
        <v>3434</v>
      </c>
      <c r="C557" s="3" t="s">
        <v>2547</v>
      </c>
      <c r="D557" s="3" t="s">
        <v>989</v>
      </c>
      <c r="E557" s="3" t="s">
        <v>3439</v>
      </c>
      <c r="F557" s="3" t="s">
        <v>38</v>
      </c>
      <c r="G557" s="3" t="s">
        <v>385</v>
      </c>
      <c r="H557" s="3" t="s">
        <v>16</v>
      </c>
      <c r="I557" s="3" t="s">
        <v>3440</v>
      </c>
    </row>
    <row r="558" spans="1:9">
      <c r="A558" s="3" t="s">
        <v>1000</v>
      </c>
      <c r="B558" s="3" t="s">
        <v>3434</v>
      </c>
      <c r="C558" s="3" t="s">
        <v>2547</v>
      </c>
      <c r="D558" s="3" t="s">
        <v>328</v>
      </c>
      <c r="E558" s="3" t="s">
        <v>3441</v>
      </c>
      <c r="F558" s="3" t="s">
        <v>38</v>
      </c>
      <c r="G558" s="3" t="s">
        <v>3442</v>
      </c>
      <c r="H558" s="3" t="s">
        <v>16</v>
      </c>
      <c r="I558" s="3" t="s">
        <v>3443</v>
      </c>
    </row>
    <row r="559" spans="1:9">
      <c r="A559" s="3" t="s">
        <v>1000</v>
      </c>
      <c r="B559" s="3" t="s">
        <v>1001</v>
      </c>
      <c r="C559" s="3" t="s">
        <v>2547</v>
      </c>
      <c r="D559" s="3" t="s">
        <v>116</v>
      </c>
      <c r="E559" s="3" t="s">
        <v>3444</v>
      </c>
      <c r="F559" s="3" t="s">
        <v>38</v>
      </c>
      <c r="G559" s="3" t="s">
        <v>3073</v>
      </c>
      <c r="H559" s="3" t="s">
        <v>16</v>
      </c>
      <c r="I559" s="3" t="s">
        <v>3445</v>
      </c>
    </row>
    <row r="560" spans="1:9">
      <c r="A560" s="3" t="s">
        <v>1000</v>
      </c>
      <c r="B560" s="3" t="s">
        <v>3446</v>
      </c>
      <c r="C560" s="3" t="s">
        <v>2547</v>
      </c>
      <c r="D560" s="3" t="s">
        <v>3447</v>
      </c>
      <c r="E560" s="3" t="s">
        <v>3448</v>
      </c>
      <c r="F560" s="3" t="s">
        <v>38</v>
      </c>
      <c r="G560" s="3"/>
      <c r="H560" s="3" t="s">
        <v>16</v>
      </c>
      <c r="I560" s="3" t="s">
        <v>3449</v>
      </c>
    </row>
    <row r="561" spans="1:9">
      <c r="A561" s="3" t="s">
        <v>1000</v>
      </c>
      <c r="B561" s="3" t="s">
        <v>3446</v>
      </c>
      <c r="C561" s="3" t="s">
        <v>2547</v>
      </c>
      <c r="D561" s="3" t="s">
        <v>535</v>
      </c>
      <c r="E561" s="3" t="s">
        <v>3450</v>
      </c>
      <c r="F561" s="3" t="s">
        <v>38</v>
      </c>
      <c r="G561" s="3"/>
      <c r="H561" s="3" t="s">
        <v>16</v>
      </c>
      <c r="I561" s="3" t="s">
        <v>3451</v>
      </c>
    </row>
    <row r="562" spans="1:9">
      <c r="A562" s="3" t="s">
        <v>1000</v>
      </c>
      <c r="B562" s="3" t="s">
        <v>3446</v>
      </c>
      <c r="C562" s="3" t="s">
        <v>2547</v>
      </c>
      <c r="D562" s="3" t="s">
        <v>3452</v>
      </c>
      <c r="E562" s="3" t="s">
        <v>3453</v>
      </c>
      <c r="F562" s="3" t="s">
        <v>38</v>
      </c>
      <c r="G562" s="3"/>
      <c r="H562" s="3" t="s">
        <v>16</v>
      </c>
      <c r="I562" s="3" t="s">
        <v>3454</v>
      </c>
    </row>
    <row r="563" spans="1:9">
      <c r="A563" s="3" t="s">
        <v>1000</v>
      </c>
      <c r="B563" s="3" t="s">
        <v>3446</v>
      </c>
      <c r="C563" s="3" t="s">
        <v>2547</v>
      </c>
      <c r="D563" s="3" t="s">
        <v>862</v>
      </c>
      <c r="E563" s="3" t="s">
        <v>3455</v>
      </c>
      <c r="F563" s="3" t="s">
        <v>38</v>
      </c>
      <c r="G563" s="3"/>
      <c r="H563" s="3" t="s">
        <v>16</v>
      </c>
      <c r="I563" s="3" t="s">
        <v>3456</v>
      </c>
    </row>
    <row r="564" spans="1:9">
      <c r="A564" s="3" t="s">
        <v>1000</v>
      </c>
      <c r="B564" s="3" t="s">
        <v>3446</v>
      </c>
      <c r="C564" s="3" t="s">
        <v>2547</v>
      </c>
      <c r="D564" s="3" t="s">
        <v>553</v>
      </c>
      <c r="E564" s="3" t="s">
        <v>1217</v>
      </c>
      <c r="F564" s="3" t="s">
        <v>38</v>
      </c>
      <c r="G564" s="3" t="s">
        <v>3457</v>
      </c>
      <c r="H564" s="3" t="s">
        <v>16</v>
      </c>
      <c r="I564" s="3" t="s">
        <v>3458</v>
      </c>
    </row>
    <row r="565" spans="1:9">
      <c r="A565" s="3" t="s">
        <v>1000</v>
      </c>
      <c r="B565" s="3" t="s">
        <v>3446</v>
      </c>
      <c r="C565" s="3" t="s">
        <v>2547</v>
      </c>
      <c r="D565" s="3" t="s">
        <v>239</v>
      </c>
      <c r="E565" s="3" t="s">
        <v>3459</v>
      </c>
      <c r="F565" s="3" t="s">
        <v>38</v>
      </c>
      <c r="G565" s="3" t="s">
        <v>3070</v>
      </c>
      <c r="H565" s="3" t="s">
        <v>16</v>
      </c>
      <c r="I565" s="3" t="s">
        <v>3460</v>
      </c>
    </row>
    <row r="566" spans="1:9">
      <c r="A566" s="3" t="s">
        <v>1000</v>
      </c>
      <c r="B566" s="3" t="s">
        <v>3461</v>
      </c>
      <c r="C566" s="3" t="s">
        <v>2547</v>
      </c>
      <c r="D566" s="3" t="s">
        <v>3462</v>
      </c>
      <c r="E566" s="3" t="s">
        <v>3463</v>
      </c>
      <c r="F566" s="3" t="s">
        <v>38</v>
      </c>
      <c r="G566" s="3" t="s">
        <v>3464</v>
      </c>
      <c r="H566" s="3" t="s">
        <v>16</v>
      </c>
      <c r="I566" s="3" t="s">
        <v>3465</v>
      </c>
    </row>
    <row r="567" spans="1:9">
      <c r="A567" s="3" t="s">
        <v>1000</v>
      </c>
      <c r="B567" s="3" t="s">
        <v>3466</v>
      </c>
      <c r="C567" s="3" t="s">
        <v>2547</v>
      </c>
      <c r="D567" s="3" t="s">
        <v>336</v>
      </c>
      <c r="E567" s="3" t="s">
        <v>3467</v>
      </c>
      <c r="F567" s="3" t="s">
        <v>38</v>
      </c>
      <c r="G567" s="3" t="s">
        <v>385</v>
      </c>
      <c r="H567" s="3" t="s">
        <v>16</v>
      </c>
      <c r="I567" s="3" t="s">
        <v>3468</v>
      </c>
    </row>
    <row r="568" spans="1:9">
      <c r="A568" s="3" t="s">
        <v>1000</v>
      </c>
      <c r="B568" s="3" t="s">
        <v>3466</v>
      </c>
      <c r="C568" s="3" t="s">
        <v>2547</v>
      </c>
      <c r="D568" s="3" t="s">
        <v>1103</v>
      </c>
      <c r="E568" s="3" t="s">
        <v>267</v>
      </c>
      <c r="F568" s="3" t="s">
        <v>38</v>
      </c>
      <c r="G568" s="3" t="s">
        <v>3469</v>
      </c>
      <c r="H568" s="3" t="s">
        <v>16</v>
      </c>
      <c r="I568" s="3" t="s">
        <v>3470</v>
      </c>
    </row>
    <row r="569" spans="1:9">
      <c r="A569" s="3" t="s">
        <v>1000</v>
      </c>
      <c r="B569" s="3" t="s">
        <v>3545</v>
      </c>
      <c r="C569" s="3" t="s">
        <v>3529</v>
      </c>
      <c r="D569" s="3" t="s">
        <v>989</v>
      </c>
      <c r="E569" s="3" t="s">
        <v>3121</v>
      </c>
      <c r="F569" s="3" t="s">
        <v>217</v>
      </c>
      <c r="G569" s="3" t="s">
        <v>3546</v>
      </c>
      <c r="H569" s="3" t="s">
        <v>323</v>
      </c>
      <c r="I569" s="3" t="s">
        <v>3547</v>
      </c>
    </row>
    <row r="570" spans="1:9">
      <c r="A570" s="3" t="s">
        <v>1000</v>
      </c>
      <c r="B570" s="3" t="s">
        <v>3567</v>
      </c>
      <c r="C570" s="3" t="s">
        <v>3529</v>
      </c>
      <c r="D570" s="3" t="s">
        <v>26</v>
      </c>
      <c r="E570" s="3" t="s">
        <v>271</v>
      </c>
      <c r="F570" s="3" t="s">
        <v>217</v>
      </c>
      <c r="G570" s="3" t="s">
        <v>3568</v>
      </c>
      <c r="H570" s="3" t="s">
        <v>16</v>
      </c>
      <c r="I570" s="3" t="s">
        <v>3569</v>
      </c>
    </row>
    <row r="571" spans="1:9">
      <c r="A571" s="3" t="s">
        <v>1000</v>
      </c>
      <c r="B571" s="3" t="s">
        <v>3559</v>
      </c>
      <c r="C571" s="3" t="s">
        <v>3529</v>
      </c>
      <c r="D571" s="3" t="s">
        <v>3629</v>
      </c>
      <c r="E571" s="3" t="s">
        <v>3630</v>
      </c>
      <c r="F571" s="3" t="s">
        <v>217</v>
      </c>
      <c r="G571" s="3"/>
      <c r="H571" s="3" t="s">
        <v>16</v>
      </c>
      <c r="I571" s="3" t="s">
        <v>3631</v>
      </c>
    </row>
    <row r="572" spans="1:9">
      <c r="A572" s="3" t="s">
        <v>34</v>
      </c>
      <c r="B572" s="3" t="s">
        <v>35</v>
      </c>
      <c r="C572" s="3" t="s">
        <v>11</v>
      </c>
      <c r="D572" s="3" t="s">
        <v>36</v>
      </c>
      <c r="E572" s="3" t="s">
        <v>37</v>
      </c>
      <c r="F572" s="3" t="s">
        <v>38</v>
      </c>
      <c r="G572" s="3" t="s">
        <v>39</v>
      </c>
      <c r="H572" s="3" t="s">
        <v>16</v>
      </c>
      <c r="I572" s="3" t="s">
        <v>40</v>
      </c>
    </row>
    <row r="573" spans="1:9">
      <c r="A573" s="3" t="s">
        <v>34</v>
      </c>
      <c r="B573" s="3" t="s">
        <v>35</v>
      </c>
      <c r="C573" s="3" t="s">
        <v>11</v>
      </c>
      <c r="D573" s="3" t="s">
        <v>41</v>
      </c>
      <c r="E573" s="3" t="s">
        <v>42</v>
      </c>
      <c r="F573" s="3" t="s">
        <v>38</v>
      </c>
      <c r="G573" s="3" t="s">
        <v>43</v>
      </c>
      <c r="H573" s="3" t="s">
        <v>16</v>
      </c>
      <c r="I573" s="3" t="s">
        <v>44</v>
      </c>
    </row>
    <row r="574" spans="1:9">
      <c r="A574" s="3" t="s">
        <v>34</v>
      </c>
      <c r="B574" s="3" t="s">
        <v>35</v>
      </c>
      <c r="C574" s="3" t="s">
        <v>11</v>
      </c>
      <c r="D574" s="3" t="s">
        <v>45</v>
      </c>
      <c r="E574" s="3" t="s">
        <v>46</v>
      </c>
      <c r="F574" s="3" t="s">
        <v>38</v>
      </c>
      <c r="G574" s="3" t="s">
        <v>47</v>
      </c>
      <c r="H574" s="3" t="s">
        <v>16</v>
      </c>
      <c r="I574" s="3" t="s">
        <v>48</v>
      </c>
    </row>
    <row r="575" spans="1:9">
      <c r="A575" s="3" t="s">
        <v>34</v>
      </c>
      <c r="B575" s="3" t="s">
        <v>35</v>
      </c>
      <c r="C575" s="3" t="s">
        <v>11</v>
      </c>
      <c r="D575" s="3" t="s">
        <v>49</v>
      </c>
      <c r="E575" s="3" t="s">
        <v>50</v>
      </c>
      <c r="F575" s="3" t="s">
        <v>38</v>
      </c>
      <c r="G575" s="3" t="s">
        <v>51</v>
      </c>
      <c r="H575" s="3" t="s">
        <v>16</v>
      </c>
      <c r="I575" s="3" t="s">
        <v>52</v>
      </c>
    </row>
    <row r="576" spans="1:9">
      <c r="A576" s="3" t="s">
        <v>34</v>
      </c>
      <c r="B576" s="3" t="s">
        <v>35</v>
      </c>
      <c r="C576" s="3" t="s">
        <v>11</v>
      </c>
      <c r="D576" s="3" t="s">
        <v>53</v>
      </c>
      <c r="E576" s="3" t="s">
        <v>54</v>
      </c>
      <c r="F576" s="3" t="s">
        <v>38</v>
      </c>
      <c r="G576" s="3" t="s">
        <v>55</v>
      </c>
      <c r="H576" s="3" t="s">
        <v>16</v>
      </c>
      <c r="I576" s="3" t="s">
        <v>56</v>
      </c>
    </row>
    <row r="577" spans="1:9">
      <c r="A577" s="3" t="s">
        <v>34</v>
      </c>
      <c r="B577" s="3" t="s">
        <v>35</v>
      </c>
      <c r="C577" s="3" t="s">
        <v>11</v>
      </c>
      <c r="D577" s="3" t="s">
        <v>57</v>
      </c>
      <c r="E577" s="3" t="s">
        <v>58</v>
      </c>
      <c r="F577" s="3" t="s">
        <v>38</v>
      </c>
      <c r="G577" s="3" t="s">
        <v>59</v>
      </c>
      <c r="H577" s="3" t="s">
        <v>16</v>
      </c>
      <c r="I577" s="3" t="s">
        <v>60</v>
      </c>
    </row>
    <row r="578" spans="1:9">
      <c r="A578" s="3" t="s">
        <v>34</v>
      </c>
      <c r="B578" s="3" t="s">
        <v>35</v>
      </c>
      <c r="C578" s="3" t="s">
        <v>11</v>
      </c>
      <c r="D578" s="3" t="s">
        <v>61</v>
      </c>
      <c r="E578" s="3" t="s">
        <v>62</v>
      </c>
      <c r="F578" s="3" t="s">
        <v>38</v>
      </c>
      <c r="G578" s="3" t="s">
        <v>63</v>
      </c>
      <c r="H578" s="3" t="s">
        <v>16</v>
      </c>
      <c r="I578" s="3" t="s">
        <v>64</v>
      </c>
    </row>
    <row r="579" spans="1:9">
      <c r="A579" s="3" t="s">
        <v>34</v>
      </c>
      <c r="B579" s="3" t="s">
        <v>35</v>
      </c>
      <c r="C579" s="3" t="s">
        <v>11</v>
      </c>
      <c r="D579" s="3" t="s">
        <v>65</v>
      </c>
      <c r="E579" s="3" t="s">
        <v>66</v>
      </c>
      <c r="F579" s="3" t="s">
        <v>38</v>
      </c>
      <c r="G579" s="3" t="s">
        <v>67</v>
      </c>
      <c r="H579" s="3" t="s">
        <v>16</v>
      </c>
      <c r="I579" s="3" t="s">
        <v>68</v>
      </c>
    </row>
    <row r="580" spans="1:9">
      <c r="A580" s="3" t="s">
        <v>34</v>
      </c>
      <c r="B580" s="3" t="s">
        <v>35</v>
      </c>
      <c r="C580" s="3" t="s">
        <v>11</v>
      </c>
      <c r="D580" s="3" t="s">
        <v>69</v>
      </c>
      <c r="E580" s="3" t="s">
        <v>70</v>
      </c>
      <c r="F580" s="3" t="s">
        <v>38</v>
      </c>
      <c r="G580" s="3" t="s">
        <v>71</v>
      </c>
      <c r="H580" s="3" t="s">
        <v>16</v>
      </c>
      <c r="I580" s="3" t="s">
        <v>72</v>
      </c>
    </row>
    <row r="581" spans="1:9">
      <c r="A581" s="3" t="s">
        <v>34</v>
      </c>
      <c r="B581" s="3" t="s">
        <v>90</v>
      </c>
      <c r="C581" s="3" t="s">
        <v>11</v>
      </c>
      <c r="D581" s="3" t="s">
        <v>91</v>
      </c>
      <c r="E581" s="3" t="s">
        <v>92</v>
      </c>
      <c r="F581" s="3" t="s">
        <v>38</v>
      </c>
      <c r="G581" s="3" t="s">
        <v>93</v>
      </c>
      <c r="H581" s="3" t="s">
        <v>16</v>
      </c>
      <c r="I581" s="3" t="s">
        <v>94</v>
      </c>
    </row>
    <row r="582" spans="1:9">
      <c r="A582" s="3" t="s">
        <v>34</v>
      </c>
      <c r="B582" s="3" t="s">
        <v>90</v>
      </c>
      <c r="C582" s="3" t="s">
        <v>11</v>
      </c>
      <c r="D582" s="3" t="s">
        <v>95</v>
      </c>
      <c r="E582" s="3" t="s">
        <v>96</v>
      </c>
      <c r="F582" s="3" t="s">
        <v>38</v>
      </c>
      <c r="G582" s="3" t="s">
        <v>97</v>
      </c>
      <c r="H582" s="3" t="s">
        <v>16</v>
      </c>
      <c r="I582" s="3" t="s">
        <v>98</v>
      </c>
    </row>
    <row r="583" spans="1:9">
      <c r="A583" s="3" t="s">
        <v>34</v>
      </c>
      <c r="B583" s="3" t="s">
        <v>90</v>
      </c>
      <c r="C583" s="3" t="s">
        <v>11</v>
      </c>
      <c r="D583" s="3" t="s">
        <v>99</v>
      </c>
      <c r="E583" s="3" t="s">
        <v>100</v>
      </c>
      <c r="F583" s="3" t="s">
        <v>38</v>
      </c>
      <c r="G583" s="3" t="s">
        <v>101</v>
      </c>
      <c r="H583" s="3" t="s">
        <v>16</v>
      </c>
      <c r="I583" s="3" t="s">
        <v>102</v>
      </c>
    </row>
    <row r="584" spans="1:9">
      <c r="A584" s="3" t="s">
        <v>34</v>
      </c>
      <c r="B584" s="3" t="s">
        <v>90</v>
      </c>
      <c r="C584" s="3" t="s">
        <v>11</v>
      </c>
      <c r="D584" s="3" t="s">
        <v>103</v>
      </c>
      <c r="E584" s="3" t="s">
        <v>104</v>
      </c>
      <c r="F584" s="3" t="s">
        <v>38</v>
      </c>
      <c r="G584" s="3" t="s">
        <v>105</v>
      </c>
      <c r="H584" s="3" t="s">
        <v>16</v>
      </c>
      <c r="I584" s="3" t="s">
        <v>106</v>
      </c>
    </row>
    <row r="585" spans="1:9">
      <c r="A585" s="3" t="s">
        <v>34</v>
      </c>
      <c r="B585" s="3" t="s">
        <v>90</v>
      </c>
      <c r="C585" s="3" t="s">
        <v>11</v>
      </c>
      <c r="D585" s="3" t="s">
        <v>107</v>
      </c>
      <c r="E585" s="3" t="s">
        <v>108</v>
      </c>
      <c r="F585" s="3" t="s">
        <v>38</v>
      </c>
      <c r="G585" s="3" t="s">
        <v>85</v>
      </c>
      <c r="H585" s="3" t="s">
        <v>16</v>
      </c>
      <c r="I585" s="3" t="s">
        <v>109</v>
      </c>
    </row>
    <row r="586" spans="1:9">
      <c r="A586" s="3" t="s">
        <v>34</v>
      </c>
      <c r="B586" s="3" t="s">
        <v>90</v>
      </c>
      <c r="C586" s="3" t="s">
        <v>11</v>
      </c>
      <c r="D586" s="3" t="s">
        <v>110</v>
      </c>
      <c r="E586" s="3" t="s">
        <v>111</v>
      </c>
      <c r="F586" s="3" t="s">
        <v>38</v>
      </c>
      <c r="G586" s="3" t="s">
        <v>112</v>
      </c>
      <c r="H586" s="3" t="s">
        <v>16</v>
      </c>
      <c r="I586" s="3" t="s">
        <v>113</v>
      </c>
    </row>
    <row r="587" spans="1:9">
      <c r="A587" s="3" t="s">
        <v>34</v>
      </c>
      <c r="B587" s="3" t="s">
        <v>90</v>
      </c>
      <c r="C587" s="3" t="s">
        <v>11</v>
      </c>
      <c r="D587" s="3" t="s">
        <v>41</v>
      </c>
      <c r="E587" s="3" t="s">
        <v>114</v>
      </c>
      <c r="F587" s="3" t="s">
        <v>38</v>
      </c>
      <c r="G587" s="3" t="s">
        <v>24</v>
      </c>
      <c r="H587" s="3" t="s">
        <v>16</v>
      </c>
      <c r="I587" s="3" t="s">
        <v>115</v>
      </c>
    </row>
    <row r="588" spans="1:9">
      <c r="A588" s="3" t="s">
        <v>34</v>
      </c>
      <c r="B588" s="3" t="s">
        <v>90</v>
      </c>
      <c r="C588" s="3" t="s">
        <v>11</v>
      </c>
      <c r="D588" s="3" t="s">
        <v>116</v>
      </c>
      <c r="E588" s="3" t="s">
        <v>117</v>
      </c>
      <c r="F588" s="3" t="s">
        <v>38</v>
      </c>
      <c r="G588" s="3" t="s">
        <v>118</v>
      </c>
      <c r="H588" s="3" t="s">
        <v>16</v>
      </c>
      <c r="I588" s="3" t="s">
        <v>119</v>
      </c>
    </row>
    <row r="589" spans="1:9">
      <c r="A589" s="3" t="s">
        <v>34</v>
      </c>
      <c r="B589" s="3" t="s">
        <v>191</v>
      </c>
      <c r="C589" s="3" t="s">
        <v>11</v>
      </c>
      <c r="D589" s="3" t="s">
        <v>192</v>
      </c>
      <c r="E589" s="3" t="s">
        <v>193</v>
      </c>
      <c r="F589" s="3" t="s">
        <v>38</v>
      </c>
      <c r="G589" s="3" t="s">
        <v>194</v>
      </c>
      <c r="H589" s="3" t="s">
        <v>16</v>
      </c>
      <c r="I589" s="3" t="s">
        <v>195</v>
      </c>
    </row>
    <row r="590" spans="1:9">
      <c r="A590" s="3" t="s">
        <v>34</v>
      </c>
      <c r="B590" s="3" t="s">
        <v>191</v>
      </c>
      <c r="C590" s="3" t="s">
        <v>11</v>
      </c>
      <c r="D590" s="3" t="s">
        <v>196</v>
      </c>
      <c r="E590" s="3" t="s">
        <v>197</v>
      </c>
      <c r="F590" s="3" t="s">
        <v>38</v>
      </c>
      <c r="G590" s="3" t="s">
        <v>198</v>
      </c>
      <c r="H590" s="3" t="s">
        <v>16</v>
      </c>
      <c r="I590" s="3" t="s">
        <v>199</v>
      </c>
    </row>
    <row r="591" spans="1:9">
      <c r="A591" s="3" t="s">
        <v>34</v>
      </c>
      <c r="B591" s="3" t="s">
        <v>191</v>
      </c>
      <c r="C591" s="3" t="s">
        <v>11</v>
      </c>
      <c r="D591" s="3" t="s">
        <v>142</v>
      </c>
      <c r="E591" s="3" t="s">
        <v>200</v>
      </c>
      <c r="F591" s="3" t="s">
        <v>38</v>
      </c>
      <c r="G591" s="3" t="s">
        <v>201</v>
      </c>
      <c r="H591" s="3" t="s">
        <v>16</v>
      </c>
      <c r="I591" s="3" t="s">
        <v>202</v>
      </c>
    </row>
    <row r="592" spans="1:9">
      <c r="A592" s="3" t="s">
        <v>34</v>
      </c>
      <c r="B592" s="3" t="s">
        <v>191</v>
      </c>
      <c r="C592" s="3" t="s">
        <v>11</v>
      </c>
      <c r="D592" s="3" t="s">
        <v>203</v>
      </c>
      <c r="E592" s="3" t="s">
        <v>204</v>
      </c>
      <c r="F592" s="3" t="s">
        <v>38</v>
      </c>
      <c r="G592" s="3" t="s">
        <v>24</v>
      </c>
      <c r="H592" s="3" t="s">
        <v>16</v>
      </c>
      <c r="I592" s="3" t="s">
        <v>205</v>
      </c>
    </row>
    <row r="593" spans="1:9">
      <c r="A593" s="3" t="s">
        <v>34</v>
      </c>
      <c r="B593" s="3" t="s">
        <v>191</v>
      </c>
      <c r="C593" s="3" t="s">
        <v>11</v>
      </c>
      <c r="D593" s="3" t="s">
        <v>206</v>
      </c>
      <c r="E593" s="3" t="s">
        <v>207</v>
      </c>
      <c r="F593" s="3" t="s">
        <v>38</v>
      </c>
      <c r="G593" s="3" t="s">
        <v>24</v>
      </c>
      <c r="H593" s="3" t="s">
        <v>16</v>
      </c>
      <c r="I593" s="3" t="s">
        <v>208</v>
      </c>
    </row>
    <row r="594" spans="1:9">
      <c r="A594" s="3" t="s">
        <v>34</v>
      </c>
      <c r="B594" s="3" t="s">
        <v>231</v>
      </c>
      <c r="C594" s="3" t="s">
        <v>11</v>
      </c>
      <c r="D594" s="3" t="s">
        <v>41</v>
      </c>
      <c r="E594" s="3" t="s">
        <v>232</v>
      </c>
      <c r="F594" s="3" t="s">
        <v>217</v>
      </c>
      <c r="G594" s="3" t="s">
        <v>233</v>
      </c>
      <c r="H594" s="3" t="s">
        <v>16</v>
      </c>
      <c r="I594" s="3" t="s">
        <v>234</v>
      </c>
    </row>
    <row r="595" spans="1:9">
      <c r="A595" s="3" t="s">
        <v>34</v>
      </c>
      <c r="B595" s="3" t="s">
        <v>231</v>
      </c>
      <c r="C595" s="3" t="s">
        <v>11</v>
      </c>
      <c r="D595" s="3" t="s">
        <v>250</v>
      </c>
      <c r="E595" s="3" t="s">
        <v>251</v>
      </c>
      <c r="F595" s="3" t="s">
        <v>217</v>
      </c>
      <c r="G595" s="3" t="s">
        <v>252</v>
      </c>
      <c r="H595" s="3" t="s">
        <v>16</v>
      </c>
      <c r="I595" s="3" t="s">
        <v>253</v>
      </c>
    </row>
    <row r="596" spans="1:9">
      <c r="A596" s="3" t="s">
        <v>34</v>
      </c>
      <c r="B596" s="3" t="s">
        <v>231</v>
      </c>
      <c r="C596" s="3" t="s">
        <v>11</v>
      </c>
      <c r="D596" s="3" t="s">
        <v>228</v>
      </c>
      <c r="E596" s="3" t="s">
        <v>254</v>
      </c>
      <c r="F596" s="3" t="s">
        <v>217</v>
      </c>
      <c r="G596" s="3" t="s">
        <v>255</v>
      </c>
      <c r="H596" s="3" t="s">
        <v>16</v>
      </c>
      <c r="I596" s="3" t="s">
        <v>256</v>
      </c>
    </row>
    <row r="597" spans="1:9">
      <c r="A597" s="3" t="s">
        <v>34</v>
      </c>
      <c r="B597" s="3" t="s">
        <v>231</v>
      </c>
      <c r="C597" s="3" t="s">
        <v>11</v>
      </c>
      <c r="D597" s="3" t="s">
        <v>257</v>
      </c>
      <c r="E597" s="3" t="s">
        <v>258</v>
      </c>
      <c r="F597" s="3" t="s">
        <v>225</v>
      </c>
      <c r="G597" s="3" t="s">
        <v>259</v>
      </c>
      <c r="H597" s="3" t="s">
        <v>16</v>
      </c>
      <c r="I597" s="3" t="s">
        <v>260</v>
      </c>
    </row>
    <row r="598" spans="1:9">
      <c r="A598" s="3" t="s">
        <v>34</v>
      </c>
      <c r="B598" s="3" t="s">
        <v>261</v>
      </c>
      <c r="C598" s="3" t="s">
        <v>11</v>
      </c>
      <c r="D598" s="3" t="s">
        <v>262</v>
      </c>
      <c r="E598" s="3" t="s">
        <v>263</v>
      </c>
      <c r="F598" s="3" t="s">
        <v>217</v>
      </c>
      <c r="G598" s="3" t="s">
        <v>264</v>
      </c>
      <c r="H598" s="3" t="s">
        <v>16</v>
      </c>
      <c r="I598" s="3" t="s">
        <v>265</v>
      </c>
    </row>
    <row r="599" spans="1:9">
      <c r="A599" s="3" t="s">
        <v>34</v>
      </c>
      <c r="B599" s="3" t="s">
        <v>90</v>
      </c>
      <c r="C599" s="3" t="s">
        <v>11</v>
      </c>
      <c r="D599" s="3" t="s">
        <v>266</v>
      </c>
      <c r="E599" s="3" t="s">
        <v>267</v>
      </c>
      <c r="F599" s="3" t="s">
        <v>217</v>
      </c>
      <c r="G599" s="3" t="s">
        <v>268</v>
      </c>
      <c r="H599" s="3" t="s">
        <v>16</v>
      </c>
      <c r="I599" s="3" t="s">
        <v>269</v>
      </c>
    </row>
    <row r="600" spans="1:9">
      <c r="A600" s="3" t="s">
        <v>34</v>
      </c>
      <c r="B600" s="3" t="s">
        <v>270</v>
      </c>
      <c r="C600" s="3" t="s">
        <v>11</v>
      </c>
      <c r="D600" s="3" t="s">
        <v>271</v>
      </c>
      <c r="E600" s="3" t="s">
        <v>272</v>
      </c>
      <c r="F600" s="3" t="s">
        <v>217</v>
      </c>
      <c r="G600" s="3" t="s">
        <v>273</v>
      </c>
      <c r="H600" s="3" t="s">
        <v>16</v>
      </c>
      <c r="I600" s="3" t="s">
        <v>274</v>
      </c>
    </row>
    <row r="601" spans="1:9">
      <c r="A601" s="3" t="s">
        <v>34</v>
      </c>
      <c r="B601" s="3" t="s">
        <v>35</v>
      </c>
      <c r="C601" s="3" t="s">
        <v>11</v>
      </c>
      <c r="D601" s="3" t="s">
        <v>275</v>
      </c>
      <c r="E601" s="3" t="s">
        <v>276</v>
      </c>
      <c r="F601" s="3" t="s">
        <v>217</v>
      </c>
      <c r="G601" s="3" t="s">
        <v>277</v>
      </c>
      <c r="H601" s="3" t="s">
        <v>16</v>
      </c>
      <c r="I601" s="3" t="s">
        <v>278</v>
      </c>
    </row>
    <row r="602" spans="1:9">
      <c r="A602" s="3" t="s">
        <v>34</v>
      </c>
      <c r="B602" s="3" t="s">
        <v>35</v>
      </c>
      <c r="C602" s="3" t="s">
        <v>11</v>
      </c>
      <c r="D602" s="3" t="s">
        <v>41</v>
      </c>
      <c r="E602" s="3" t="s">
        <v>279</v>
      </c>
      <c r="F602" s="3" t="s">
        <v>217</v>
      </c>
      <c r="G602" s="3" t="s">
        <v>280</v>
      </c>
      <c r="H602" s="3" t="s">
        <v>16</v>
      </c>
      <c r="I602" s="3" t="s">
        <v>281</v>
      </c>
    </row>
    <row r="603" spans="1:9">
      <c r="A603" s="3" t="s">
        <v>34</v>
      </c>
      <c r="B603" s="3" t="s">
        <v>35</v>
      </c>
      <c r="C603" s="3" t="s">
        <v>11</v>
      </c>
      <c r="D603" s="3" t="s">
        <v>282</v>
      </c>
      <c r="E603" s="3" t="s">
        <v>283</v>
      </c>
      <c r="F603" s="3" t="s">
        <v>217</v>
      </c>
      <c r="G603" s="3" t="s">
        <v>284</v>
      </c>
      <c r="H603" s="3" t="s">
        <v>16</v>
      </c>
      <c r="I603" s="3" t="s">
        <v>285</v>
      </c>
    </row>
    <row r="604" spans="1:9">
      <c r="A604" s="3" t="s">
        <v>34</v>
      </c>
      <c r="B604" s="3" t="s">
        <v>35</v>
      </c>
      <c r="C604" s="3" t="s">
        <v>11</v>
      </c>
      <c r="D604" s="3" t="s">
        <v>286</v>
      </c>
      <c r="E604" s="3" t="s">
        <v>287</v>
      </c>
      <c r="F604" s="3" t="s">
        <v>217</v>
      </c>
      <c r="G604" s="3" t="s">
        <v>288</v>
      </c>
      <c r="H604" s="3" t="s">
        <v>16</v>
      </c>
      <c r="I604" s="3" t="s">
        <v>289</v>
      </c>
    </row>
    <row r="605" spans="1:9">
      <c r="A605" s="3" t="s">
        <v>34</v>
      </c>
      <c r="B605" s="3" t="s">
        <v>90</v>
      </c>
      <c r="C605" s="3" t="s">
        <v>11</v>
      </c>
      <c r="D605" s="3" t="s">
        <v>26</v>
      </c>
      <c r="E605" s="3" t="s">
        <v>290</v>
      </c>
      <c r="F605" s="3" t="s">
        <v>217</v>
      </c>
      <c r="G605" s="3" t="s">
        <v>291</v>
      </c>
      <c r="H605" s="3" t="s">
        <v>16</v>
      </c>
      <c r="I605" s="3" t="s">
        <v>292</v>
      </c>
    </row>
    <row r="606" spans="1:9">
      <c r="A606" s="3" t="s">
        <v>34</v>
      </c>
      <c r="B606" s="3" t="s">
        <v>191</v>
      </c>
      <c r="C606" s="3" t="s">
        <v>11</v>
      </c>
      <c r="D606" s="3" t="s">
        <v>293</v>
      </c>
      <c r="E606" s="3" t="s">
        <v>294</v>
      </c>
      <c r="F606" s="3" t="s">
        <v>217</v>
      </c>
      <c r="G606" s="3" t="s">
        <v>295</v>
      </c>
      <c r="H606" s="3" t="s">
        <v>16</v>
      </c>
      <c r="I606" s="3" t="s">
        <v>296</v>
      </c>
    </row>
    <row r="607" spans="1:9">
      <c r="A607" s="3" t="s">
        <v>34</v>
      </c>
      <c r="B607" s="3" t="s">
        <v>191</v>
      </c>
      <c r="C607" s="3" t="s">
        <v>11</v>
      </c>
      <c r="D607" s="3" t="s">
        <v>228</v>
      </c>
      <c r="E607" s="3" t="s">
        <v>297</v>
      </c>
      <c r="F607" s="3" t="s">
        <v>217</v>
      </c>
      <c r="G607" s="3" t="s">
        <v>298</v>
      </c>
      <c r="H607" s="3" t="s">
        <v>16</v>
      </c>
      <c r="I607" s="3" t="s">
        <v>299</v>
      </c>
    </row>
    <row r="608" spans="1:9">
      <c r="A608" s="3" t="s">
        <v>34</v>
      </c>
      <c r="B608" s="3" t="s">
        <v>300</v>
      </c>
      <c r="C608" s="3" t="s">
        <v>11</v>
      </c>
      <c r="D608" s="3" t="s">
        <v>301</v>
      </c>
      <c r="E608" s="3" t="s">
        <v>302</v>
      </c>
      <c r="F608" s="3" t="s">
        <v>217</v>
      </c>
      <c r="G608" s="3" t="s">
        <v>264</v>
      </c>
      <c r="H608" s="3" t="s">
        <v>16</v>
      </c>
      <c r="I608" s="3" t="s">
        <v>303</v>
      </c>
    </row>
    <row r="609" spans="1:9">
      <c r="A609" s="3" t="s">
        <v>34</v>
      </c>
      <c r="B609" s="3" t="s">
        <v>304</v>
      </c>
      <c r="C609" s="3" t="s">
        <v>11</v>
      </c>
      <c r="D609" s="3" t="s">
        <v>165</v>
      </c>
      <c r="E609" s="3" t="s">
        <v>305</v>
      </c>
      <c r="F609" s="3" t="s">
        <v>217</v>
      </c>
      <c r="G609" s="3"/>
      <c r="H609" s="3" t="s">
        <v>16</v>
      </c>
      <c r="I609" s="3" t="s">
        <v>306</v>
      </c>
    </row>
    <row r="610" spans="1:9">
      <c r="A610" s="3" t="s">
        <v>34</v>
      </c>
      <c r="B610" s="3" t="s">
        <v>300</v>
      </c>
      <c r="C610" s="3" t="s">
        <v>11</v>
      </c>
      <c r="D610" s="3" t="s">
        <v>41</v>
      </c>
      <c r="E610" s="3" t="s">
        <v>307</v>
      </c>
      <c r="F610" s="3" t="s">
        <v>217</v>
      </c>
      <c r="G610" s="3" t="s">
        <v>308</v>
      </c>
      <c r="H610" s="3" t="s">
        <v>16</v>
      </c>
      <c r="I610" s="3" t="s">
        <v>309</v>
      </c>
    </row>
    <row r="611" spans="1:9">
      <c r="A611" s="3" t="s">
        <v>34</v>
      </c>
      <c r="B611" s="3" t="s">
        <v>261</v>
      </c>
      <c r="C611" s="3" t="s">
        <v>11</v>
      </c>
      <c r="D611" s="3" t="s">
        <v>142</v>
      </c>
      <c r="E611" s="3" t="s">
        <v>310</v>
      </c>
      <c r="F611" s="3" t="s">
        <v>217</v>
      </c>
      <c r="G611" s="3" t="s">
        <v>311</v>
      </c>
      <c r="H611" s="3" t="s">
        <v>16</v>
      </c>
      <c r="I611" s="3" t="s">
        <v>312</v>
      </c>
    </row>
    <row r="612" spans="1:9">
      <c r="A612" s="3" t="s">
        <v>34</v>
      </c>
      <c r="B612" s="3" t="s">
        <v>261</v>
      </c>
      <c r="C612" s="3" t="s">
        <v>11</v>
      </c>
      <c r="D612" s="3" t="s">
        <v>313</v>
      </c>
      <c r="E612" s="3" t="s">
        <v>314</v>
      </c>
      <c r="F612" s="3" t="s">
        <v>217</v>
      </c>
      <c r="G612" s="3"/>
      <c r="H612" s="3" t="s">
        <v>16</v>
      </c>
      <c r="I612" s="3" t="s">
        <v>315</v>
      </c>
    </row>
    <row r="613" spans="1:9">
      <c r="A613" s="3" t="s">
        <v>34</v>
      </c>
      <c r="B613" s="3" t="s">
        <v>261</v>
      </c>
      <c r="C613" s="3" t="s">
        <v>11</v>
      </c>
      <c r="D613" s="3" t="s">
        <v>316</v>
      </c>
      <c r="E613" s="3" t="s">
        <v>317</v>
      </c>
      <c r="F613" s="3" t="s">
        <v>217</v>
      </c>
      <c r="G613" s="3" t="s">
        <v>304</v>
      </c>
      <c r="H613" s="3" t="s">
        <v>16</v>
      </c>
      <c r="I613" s="3" t="s">
        <v>318</v>
      </c>
    </row>
    <row r="614" spans="1:9">
      <c r="A614" s="3" t="s">
        <v>34</v>
      </c>
      <c r="B614" s="3" t="s">
        <v>35</v>
      </c>
      <c r="C614" s="3" t="s">
        <v>320</v>
      </c>
      <c r="D614" s="3" t="s">
        <v>286</v>
      </c>
      <c r="E614" s="3" t="s">
        <v>287</v>
      </c>
      <c r="F614" s="3" t="s">
        <v>38</v>
      </c>
      <c r="G614" s="3" t="s">
        <v>429</v>
      </c>
      <c r="H614" s="3" t="s">
        <v>323</v>
      </c>
      <c r="I614" s="3" t="s">
        <v>430</v>
      </c>
    </row>
    <row r="615" spans="1:9">
      <c r="A615" s="3" t="s">
        <v>34</v>
      </c>
      <c r="B615" s="3" t="s">
        <v>35</v>
      </c>
      <c r="C615" s="3" t="s">
        <v>320</v>
      </c>
      <c r="D615" s="3" t="s">
        <v>438</v>
      </c>
      <c r="E615" s="3" t="s">
        <v>257</v>
      </c>
      <c r="F615" s="3" t="s">
        <v>217</v>
      </c>
      <c r="G615" s="3" t="s">
        <v>439</v>
      </c>
      <c r="H615" s="3" t="s">
        <v>16</v>
      </c>
      <c r="I615" s="3" t="s">
        <v>440</v>
      </c>
    </row>
    <row r="616" spans="1:9">
      <c r="A616" s="3" t="s">
        <v>34</v>
      </c>
      <c r="B616" s="3" t="s">
        <v>909</v>
      </c>
      <c r="C616" s="3" t="s">
        <v>900</v>
      </c>
      <c r="D616" s="3" t="s">
        <v>910</v>
      </c>
      <c r="E616" s="3" t="s">
        <v>911</v>
      </c>
      <c r="F616" s="3" t="s">
        <v>38</v>
      </c>
      <c r="G616" s="3" t="s">
        <v>912</v>
      </c>
      <c r="H616" s="3" t="s">
        <v>323</v>
      </c>
      <c r="I616" s="3" t="s">
        <v>913</v>
      </c>
    </row>
    <row r="617" spans="1:9">
      <c r="A617" s="3" t="s">
        <v>34</v>
      </c>
      <c r="B617" s="3" t="s">
        <v>917</v>
      </c>
      <c r="C617" s="3" t="s">
        <v>900</v>
      </c>
      <c r="D617" s="3" t="s">
        <v>918</v>
      </c>
      <c r="E617" s="3" t="s">
        <v>919</v>
      </c>
      <c r="F617" s="3" t="s">
        <v>38</v>
      </c>
      <c r="G617" s="3" t="s">
        <v>920</v>
      </c>
      <c r="H617" s="3" t="s">
        <v>323</v>
      </c>
      <c r="I617" s="3" t="s">
        <v>921</v>
      </c>
    </row>
    <row r="618" spans="1:9">
      <c r="A618" s="3" t="s">
        <v>34</v>
      </c>
      <c r="B618" s="3" t="s">
        <v>927</v>
      </c>
      <c r="C618" s="3" t="s">
        <v>900</v>
      </c>
      <c r="D618" s="3" t="s">
        <v>509</v>
      </c>
      <c r="E618" s="3" t="s">
        <v>928</v>
      </c>
      <c r="F618" s="3" t="s">
        <v>38</v>
      </c>
      <c r="G618" s="3" t="s">
        <v>929</v>
      </c>
      <c r="H618" s="3" t="s">
        <v>323</v>
      </c>
      <c r="I618" s="3" t="s">
        <v>930</v>
      </c>
    </row>
    <row r="619" spans="1:9">
      <c r="A619" s="3" t="s">
        <v>34</v>
      </c>
      <c r="B619" s="3" t="s">
        <v>992</v>
      </c>
      <c r="C619" s="3" t="s">
        <v>900</v>
      </c>
      <c r="D619" s="3" t="s">
        <v>993</v>
      </c>
      <c r="E619" s="3" t="s">
        <v>994</v>
      </c>
      <c r="F619" s="3" t="s">
        <v>38</v>
      </c>
      <c r="G619" s="3" t="s">
        <v>995</v>
      </c>
      <c r="H619" s="3" t="s">
        <v>323</v>
      </c>
      <c r="I619" s="3" t="s">
        <v>996</v>
      </c>
    </row>
    <row r="620" spans="1:9">
      <c r="A620" s="3" t="s">
        <v>34</v>
      </c>
      <c r="B620" s="3" t="s">
        <v>927</v>
      </c>
      <c r="C620" s="3" t="s">
        <v>900</v>
      </c>
      <c r="D620" s="3" t="s">
        <v>95</v>
      </c>
      <c r="E620" s="3" t="s">
        <v>997</v>
      </c>
      <c r="F620" s="3" t="s">
        <v>217</v>
      </c>
      <c r="G620" s="3" t="s">
        <v>998</v>
      </c>
      <c r="H620" s="3" t="s">
        <v>323</v>
      </c>
      <c r="I620" s="3" t="s">
        <v>999</v>
      </c>
    </row>
    <row r="621" spans="1:9">
      <c r="A621" s="3" t="s">
        <v>34</v>
      </c>
      <c r="B621" s="3" t="s">
        <v>992</v>
      </c>
      <c r="C621" s="3" t="s">
        <v>900</v>
      </c>
      <c r="D621" s="3" t="s">
        <v>1154</v>
      </c>
      <c r="E621" s="3" t="s">
        <v>1155</v>
      </c>
      <c r="F621" s="3" t="s">
        <v>38</v>
      </c>
      <c r="G621" s="3" t="s">
        <v>1156</v>
      </c>
      <c r="H621" s="3" t="s">
        <v>16</v>
      </c>
      <c r="I621" s="3" t="s">
        <v>1157</v>
      </c>
    </row>
    <row r="622" spans="1:9">
      <c r="A622" s="3" t="s">
        <v>34</v>
      </c>
      <c r="B622" s="3" t="s">
        <v>1158</v>
      </c>
      <c r="C622" s="3" t="s">
        <v>900</v>
      </c>
      <c r="D622" s="3" t="s">
        <v>439</v>
      </c>
      <c r="E622" s="3" t="s">
        <v>439</v>
      </c>
      <c r="F622" s="3" t="s">
        <v>38</v>
      </c>
      <c r="G622" s="3" t="s">
        <v>439</v>
      </c>
      <c r="H622" s="3" t="s">
        <v>16</v>
      </c>
      <c r="I622" s="3" t="s">
        <v>1159</v>
      </c>
    </row>
    <row r="623" spans="1:9">
      <c r="A623" s="3" t="s">
        <v>34</v>
      </c>
      <c r="B623" s="3" t="s">
        <v>1160</v>
      </c>
      <c r="C623" s="3" t="s">
        <v>900</v>
      </c>
      <c r="D623" s="3" t="s">
        <v>103</v>
      </c>
      <c r="E623" s="3" t="s">
        <v>1161</v>
      </c>
      <c r="F623" s="3" t="s">
        <v>38</v>
      </c>
      <c r="G623" s="3" t="s">
        <v>1162</v>
      </c>
      <c r="H623" s="3" t="s">
        <v>16</v>
      </c>
      <c r="I623" s="3" t="s">
        <v>1163</v>
      </c>
    </row>
    <row r="624" spans="1:9">
      <c r="A624" s="3" t="s">
        <v>34</v>
      </c>
      <c r="B624" s="3" t="s">
        <v>1164</v>
      </c>
      <c r="C624" s="3" t="s">
        <v>900</v>
      </c>
      <c r="D624" s="3" t="s">
        <v>439</v>
      </c>
      <c r="E624" s="3" t="s">
        <v>439</v>
      </c>
      <c r="F624" s="3" t="s">
        <v>38</v>
      </c>
      <c r="G624" s="3" t="s">
        <v>439</v>
      </c>
      <c r="H624" s="3" t="s">
        <v>16</v>
      </c>
      <c r="I624" s="3" t="s">
        <v>1165</v>
      </c>
    </row>
    <row r="625" spans="1:9">
      <c r="A625" s="3" t="s">
        <v>34</v>
      </c>
      <c r="B625" s="3" t="s">
        <v>1166</v>
      </c>
      <c r="C625" s="3" t="s">
        <v>900</v>
      </c>
      <c r="D625" s="3" t="s">
        <v>125</v>
      </c>
      <c r="E625" s="3" t="s">
        <v>1167</v>
      </c>
      <c r="F625" s="3" t="s">
        <v>38</v>
      </c>
      <c r="G625" s="3" t="s">
        <v>1168</v>
      </c>
      <c r="H625" s="3" t="s">
        <v>16</v>
      </c>
      <c r="I625" s="3" t="s">
        <v>1169</v>
      </c>
    </row>
    <row r="626" spans="1:9">
      <c r="A626" s="3" t="s">
        <v>34</v>
      </c>
      <c r="B626" s="3" t="s">
        <v>1170</v>
      </c>
      <c r="C626" s="3" t="s">
        <v>900</v>
      </c>
      <c r="D626" s="3" t="s">
        <v>1171</v>
      </c>
      <c r="E626" s="3" t="s">
        <v>1172</v>
      </c>
      <c r="F626" s="3" t="s">
        <v>38</v>
      </c>
      <c r="G626" s="3" t="s">
        <v>682</v>
      </c>
      <c r="H626" s="3" t="s">
        <v>16</v>
      </c>
      <c r="I626" s="3" t="s">
        <v>1173</v>
      </c>
    </row>
    <row r="627" spans="1:9">
      <c r="A627" s="3" t="s">
        <v>34</v>
      </c>
      <c r="B627" s="3" t="s">
        <v>1174</v>
      </c>
      <c r="C627" s="3" t="s">
        <v>900</v>
      </c>
      <c r="D627" s="3" t="s">
        <v>1175</v>
      </c>
      <c r="E627" s="3" t="s">
        <v>1176</v>
      </c>
      <c r="F627" s="3" t="s">
        <v>38</v>
      </c>
      <c r="G627" s="3" t="s">
        <v>1177</v>
      </c>
      <c r="H627" s="3" t="s">
        <v>16</v>
      </c>
      <c r="I627" s="3" t="s">
        <v>1178</v>
      </c>
    </row>
    <row r="628" spans="1:9">
      <c r="A628" s="3" t="s">
        <v>34</v>
      </c>
      <c r="B628" s="3" t="s">
        <v>1179</v>
      </c>
      <c r="C628" s="3" t="s">
        <v>900</v>
      </c>
      <c r="D628" s="3" t="s">
        <v>271</v>
      </c>
      <c r="E628" s="3" t="s">
        <v>1180</v>
      </c>
      <c r="F628" s="3" t="s">
        <v>38</v>
      </c>
      <c r="G628" s="3" t="s">
        <v>1181</v>
      </c>
      <c r="H628" s="3" t="s">
        <v>16</v>
      </c>
      <c r="I628" s="3" t="s">
        <v>1182</v>
      </c>
    </row>
    <row r="629" spans="1:9">
      <c r="A629" s="3" t="s">
        <v>34</v>
      </c>
      <c r="B629" s="3" t="s">
        <v>909</v>
      </c>
      <c r="C629" s="3" t="s">
        <v>900</v>
      </c>
      <c r="D629" s="3" t="s">
        <v>1187</v>
      </c>
      <c r="E629" s="3" t="s">
        <v>1188</v>
      </c>
      <c r="F629" s="3" t="s">
        <v>225</v>
      </c>
      <c r="G629" s="3"/>
      <c r="H629" s="3" t="s">
        <v>16</v>
      </c>
      <c r="I629" s="3" t="s">
        <v>1189</v>
      </c>
    </row>
    <row r="630" spans="1:9">
      <c r="A630" s="3" t="s">
        <v>34</v>
      </c>
      <c r="B630" s="3" t="s">
        <v>1190</v>
      </c>
      <c r="C630" s="3" t="s">
        <v>900</v>
      </c>
      <c r="D630" s="3" t="s">
        <v>41</v>
      </c>
      <c r="E630" s="3" t="s">
        <v>137</v>
      </c>
      <c r="F630" s="3" t="s">
        <v>38</v>
      </c>
      <c r="G630" s="3" t="s">
        <v>1191</v>
      </c>
      <c r="H630" s="3" t="s">
        <v>323</v>
      </c>
      <c r="I630" s="3" t="s">
        <v>1192</v>
      </c>
    </row>
    <row r="631" spans="1:9">
      <c r="A631" s="3" t="s">
        <v>34</v>
      </c>
      <c r="B631" s="3" t="s">
        <v>927</v>
      </c>
      <c r="C631" s="3" t="s">
        <v>900</v>
      </c>
      <c r="D631" s="3" t="s">
        <v>328</v>
      </c>
      <c r="E631" s="3" t="s">
        <v>1339</v>
      </c>
      <c r="F631" s="3" t="s">
        <v>38</v>
      </c>
      <c r="G631" s="3"/>
      <c r="H631" s="3" t="s">
        <v>16</v>
      </c>
      <c r="I631" s="3" t="s">
        <v>1340</v>
      </c>
    </row>
    <row r="632" spans="1:9">
      <c r="A632" s="3" t="s">
        <v>34</v>
      </c>
      <c r="B632" s="3" t="s">
        <v>927</v>
      </c>
      <c r="C632" s="3" t="s">
        <v>900</v>
      </c>
      <c r="D632" s="3" t="s">
        <v>809</v>
      </c>
      <c r="E632" s="3" t="s">
        <v>1341</v>
      </c>
      <c r="F632" s="3" t="s">
        <v>38</v>
      </c>
      <c r="G632" s="3" t="s">
        <v>1342</v>
      </c>
      <c r="H632" s="3" t="s">
        <v>16</v>
      </c>
      <c r="I632" s="3" t="s">
        <v>1343</v>
      </c>
    </row>
    <row r="633" spans="1:9">
      <c r="A633" s="3" t="s">
        <v>34</v>
      </c>
      <c r="B633" s="3" t="s">
        <v>927</v>
      </c>
      <c r="C633" s="3" t="s">
        <v>900</v>
      </c>
      <c r="D633" s="3" t="s">
        <v>1276</v>
      </c>
      <c r="E633" s="3" t="s">
        <v>1344</v>
      </c>
      <c r="F633" s="3" t="s">
        <v>38</v>
      </c>
      <c r="G633" s="3" t="s">
        <v>1345</v>
      </c>
      <c r="H633" s="3" t="s">
        <v>16</v>
      </c>
      <c r="I633" s="3" t="s">
        <v>1346</v>
      </c>
    </row>
    <row r="634" spans="1:9">
      <c r="A634" s="3" t="s">
        <v>34</v>
      </c>
      <c r="B634" s="3" t="s">
        <v>909</v>
      </c>
      <c r="C634" s="3" t="s">
        <v>900</v>
      </c>
      <c r="D634" s="3" t="s">
        <v>1347</v>
      </c>
      <c r="E634" s="3" t="s">
        <v>1348</v>
      </c>
      <c r="F634" s="3" t="s">
        <v>38</v>
      </c>
      <c r="G634" s="3" t="s">
        <v>1349</v>
      </c>
      <c r="H634" s="3" t="s">
        <v>16</v>
      </c>
      <c r="I634" s="3" t="s">
        <v>1350</v>
      </c>
    </row>
    <row r="635" spans="1:9">
      <c r="A635" s="3" t="s">
        <v>34</v>
      </c>
      <c r="B635" s="3" t="s">
        <v>1459</v>
      </c>
      <c r="C635" s="3" t="s">
        <v>900</v>
      </c>
      <c r="D635" s="3" t="s">
        <v>1460</v>
      </c>
      <c r="E635" s="3" t="s">
        <v>1461</v>
      </c>
      <c r="F635" s="3" t="s">
        <v>38</v>
      </c>
      <c r="G635" s="3" t="s">
        <v>1462</v>
      </c>
      <c r="H635" s="3" t="s">
        <v>16</v>
      </c>
      <c r="I635" s="3" t="s">
        <v>1463</v>
      </c>
    </row>
    <row r="636" spans="1:9">
      <c r="A636" s="3" t="s">
        <v>34</v>
      </c>
      <c r="B636" s="3" t="s">
        <v>927</v>
      </c>
      <c r="C636" s="3" t="s">
        <v>900</v>
      </c>
      <c r="D636" s="3" t="s">
        <v>41</v>
      </c>
      <c r="E636" s="3" t="s">
        <v>182</v>
      </c>
      <c r="F636" s="3" t="s">
        <v>38</v>
      </c>
      <c r="G636" s="3" t="s">
        <v>1468</v>
      </c>
      <c r="H636" s="3" t="s">
        <v>16</v>
      </c>
      <c r="I636" s="3" t="s">
        <v>1469</v>
      </c>
    </row>
    <row r="637" spans="1:9">
      <c r="A637" s="3" t="s">
        <v>34</v>
      </c>
      <c r="B637" s="3" t="s">
        <v>1158</v>
      </c>
      <c r="C637" s="3" t="s">
        <v>900</v>
      </c>
      <c r="D637" s="3" t="s">
        <v>107</v>
      </c>
      <c r="E637" s="3" t="s">
        <v>1544</v>
      </c>
      <c r="F637" s="3" t="s">
        <v>38</v>
      </c>
      <c r="G637" s="3" t="s">
        <v>1545</v>
      </c>
      <c r="H637" s="3" t="s">
        <v>16</v>
      </c>
      <c r="I637" s="3" t="s">
        <v>1546</v>
      </c>
    </row>
    <row r="638" spans="1:9">
      <c r="A638" s="3" t="s">
        <v>34</v>
      </c>
      <c r="B638" s="3" t="s">
        <v>1158</v>
      </c>
      <c r="C638" s="3" t="s">
        <v>900</v>
      </c>
      <c r="D638" s="3" t="s">
        <v>1103</v>
      </c>
      <c r="E638" s="3" t="s">
        <v>1547</v>
      </c>
      <c r="F638" s="3" t="s">
        <v>38</v>
      </c>
      <c r="G638" s="3" t="s">
        <v>1548</v>
      </c>
      <c r="H638" s="3" t="s">
        <v>16</v>
      </c>
      <c r="I638" s="3" t="s">
        <v>1549</v>
      </c>
    </row>
    <row r="639" spans="1:9">
      <c r="A639" s="3" t="s">
        <v>34</v>
      </c>
      <c r="B639" s="3" t="s">
        <v>1596</v>
      </c>
      <c r="C639" s="3" t="s">
        <v>1588</v>
      </c>
      <c r="D639" s="3" t="s">
        <v>301</v>
      </c>
      <c r="E639" s="3" t="s">
        <v>1597</v>
      </c>
      <c r="F639" s="3" t="s">
        <v>38</v>
      </c>
      <c r="G639" s="3" t="s">
        <v>1598</v>
      </c>
      <c r="H639" s="3" t="s">
        <v>323</v>
      </c>
      <c r="I639" s="3" t="s">
        <v>1599</v>
      </c>
    </row>
    <row r="640" spans="1:9">
      <c r="A640" s="3" t="s">
        <v>34</v>
      </c>
      <c r="B640" s="3" t="s">
        <v>1604</v>
      </c>
      <c r="C640" s="3" t="s">
        <v>1588</v>
      </c>
      <c r="D640" s="3" t="s">
        <v>45</v>
      </c>
      <c r="E640" s="3" t="s">
        <v>1605</v>
      </c>
      <c r="F640" s="3" t="s">
        <v>38</v>
      </c>
      <c r="G640" s="3" t="s">
        <v>1606</v>
      </c>
      <c r="H640" s="3" t="s">
        <v>323</v>
      </c>
      <c r="I640" s="3" t="s">
        <v>1607</v>
      </c>
    </row>
    <row r="641" spans="1:9">
      <c r="A641" s="3" t="s">
        <v>34</v>
      </c>
      <c r="B641" s="3" t="s">
        <v>1633</v>
      </c>
      <c r="C641" s="3" t="s">
        <v>1588</v>
      </c>
      <c r="D641" s="3" t="s">
        <v>1634</v>
      </c>
      <c r="E641" s="3" t="s">
        <v>1635</v>
      </c>
      <c r="F641" s="3" t="s">
        <v>217</v>
      </c>
      <c r="G641" s="3" t="s">
        <v>1636</v>
      </c>
      <c r="H641" s="3" t="s">
        <v>323</v>
      </c>
      <c r="I641" s="3" t="s">
        <v>1637</v>
      </c>
    </row>
    <row r="642" spans="1:9">
      <c r="A642" s="3" t="s">
        <v>34</v>
      </c>
      <c r="B642" s="3" t="s">
        <v>1638</v>
      </c>
      <c r="C642" s="3" t="s">
        <v>1588</v>
      </c>
      <c r="D642" s="3" t="s">
        <v>1470</v>
      </c>
      <c r="E642" s="3" t="s">
        <v>1639</v>
      </c>
      <c r="F642" s="3" t="s">
        <v>38</v>
      </c>
      <c r="G642" s="3" t="s">
        <v>1640</v>
      </c>
      <c r="H642" s="3" t="s">
        <v>323</v>
      </c>
      <c r="I642" s="3" t="s">
        <v>1641</v>
      </c>
    </row>
    <row r="643" spans="1:9">
      <c r="A643" s="3" t="s">
        <v>34</v>
      </c>
      <c r="B643" s="3" t="s">
        <v>1650</v>
      </c>
      <c r="C643" s="3" t="s">
        <v>1588</v>
      </c>
      <c r="D643" s="3" t="s">
        <v>1651</v>
      </c>
      <c r="E643" s="3" t="s">
        <v>1652</v>
      </c>
      <c r="F643" s="3" t="s">
        <v>217</v>
      </c>
      <c r="G643" s="3" t="s">
        <v>472</v>
      </c>
      <c r="H643" s="3" t="s">
        <v>16</v>
      </c>
      <c r="I643" s="3" t="s">
        <v>1653</v>
      </c>
    </row>
    <row r="644" spans="1:9">
      <c r="A644" s="3" t="s">
        <v>34</v>
      </c>
      <c r="B644" s="3" t="s">
        <v>1654</v>
      </c>
      <c r="C644" s="3" t="s">
        <v>1588</v>
      </c>
      <c r="D644" s="3" t="s">
        <v>75</v>
      </c>
      <c r="E644" s="3" t="s">
        <v>1655</v>
      </c>
      <c r="F644" s="3" t="s">
        <v>217</v>
      </c>
      <c r="G644" s="3" t="s">
        <v>472</v>
      </c>
      <c r="H644" s="3" t="s">
        <v>16</v>
      </c>
      <c r="I644" s="3" t="s">
        <v>1656</v>
      </c>
    </row>
    <row r="645" spans="1:9">
      <c r="A645" s="3" t="s">
        <v>34</v>
      </c>
      <c r="B645" s="3" t="s">
        <v>1795</v>
      </c>
      <c r="C645" s="3" t="s">
        <v>1588</v>
      </c>
      <c r="D645" s="3" t="s">
        <v>1708</v>
      </c>
      <c r="E645" s="3" t="s">
        <v>1796</v>
      </c>
      <c r="F645" s="3" t="s">
        <v>225</v>
      </c>
      <c r="G645" s="3" t="s">
        <v>472</v>
      </c>
      <c r="H645" s="3" t="s">
        <v>16</v>
      </c>
      <c r="I645" s="3" t="s">
        <v>1797</v>
      </c>
    </row>
    <row r="646" spans="1:9">
      <c r="A646" s="3" t="s">
        <v>34</v>
      </c>
      <c r="B646" s="3" t="s">
        <v>1798</v>
      </c>
      <c r="C646" s="3" t="s">
        <v>1588</v>
      </c>
      <c r="D646" s="3" t="s">
        <v>1252</v>
      </c>
      <c r="E646" s="3" t="s">
        <v>1799</v>
      </c>
      <c r="F646" s="3" t="s">
        <v>38</v>
      </c>
      <c r="G646" s="3" t="s">
        <v>1800</v>
      </c>
      <c r="H646" s="3" t="s">
        <v>16</v>
      </c>
      <c r="I646" s="3" t="s">
        <v>1801</v>
      </c>
    </row>
    <row r="647" spans="1:9">
      <c r="A647" s="3" t="s">
        <v>34</v>
      </c>
      <c r="B647" s="3" t="s">
        <v>1802</v>
      </c>
      <c r="C647" s="3" t="s">
        <v>1588</v>
      </c>
      <c r="D647" s="3" t="s">
        <v>439</v>
      </c>
      <c r="E647" s="3" t="s">
        <v>439</v>
      </c>
      <c r="F647" s="3" t="s">
        <v>38</v>
      </c>
      <c r="G647" s="3" t="s">
        <v>439</v>
      </c>
      <c r="H647" s="3" t="s">
        <v>16</v>
      </c>
      <c r="I647" s="3" t="s">
        <v>1803</v>
      </c>
    </row>
    <row r="648" spans="1:9">
      <c r="A648" s="3" t="s">
        <v>34</v>
      </c>
      <c r="B648" s="3" t="s">
        <v>1804</v>
      </c>
      <c r="C648" s="3" t="s">
        <v>1588</v>
      </c>
      <c r="D648" s="3" t="s">
        <v>439</v>
      </c>
      <c r="E648" s="3" t="s">
        <v>439</v>
      </c>
      <c r="F648" s="3" t="s">
        <v>38</v>
      </c>
      <c r="G648" s="3" t="s">
        <v>439</v>
      </c>
      <c r="H648" s="3" t="s">
        <v>16</v>
      </c>
      <c r="I648" s="3" t="s">
        <v>1805</v>
      </c>
    </row>
    <row r="649" spans="1:9">
      <c r="A649" s="3" t="s">
        <v>34</v>
      </c>
      <c r="B649" s="3" t="s">
        <v>1806</v>
      </c>
      <c r="C649" s="3" t="s">
        <v>1588</v>
      </c>
      <c r="D649" s="3" t="s">
        <v>439</v>
      </c>
      <c r="E649" s="3" t="s">
        <v>439</v>
      </c>
      <c r="F649" s="3" t="s">
        <v>38</v>
      </c>
      <c r="G649" s="3" t="s">
        <v>439</v>
      </c>
      <c r="H649" s="3" t="s">
        <v>16</v>
      </c>
      <c r="I649" s="3" t="s">
        <v>1807</v>
      </c>
    </row>
    <row r="650" spans="1:9">
      <c r="A650" s="3" t="s">
        <v>34</v>
      </c>
      <c r="B650" s="3" t="s">
        <v>1808</v>
      </c>
      <c r="C650" s="3" t="s">
        <v>1588</v>
      </c>
      <c r="D650" s="3" t="s">
        <v>116</v>
      </c>
      <c r="E650" s="3" t="s">
        <v>1809</v>
      </c>
      <c r="F650" s="3" t="s">
        <v>38</v>
      </c>
      <c r="G650" s="3" t="s">
        <v>1181</v>
      </c>
      <c r="H650" s="3" t="s">
        <v>16</v>
      </c>
      <c r="I650" s="3" t="s">
        <v>1810</v>
      </c>
    </row>
    <row r="651" spans="1:9">
      <c r="A651" s="3" t="s">
        <v>34</v>
      </c>
      <c r="B651" s="3" t="s">
        <v>1654</v>
      </c>
      <c r="C651" s="3" t="s">
        <v>1588</v>
      </c>
      <c r="D651" s="3" t="s">
        <v>336</v>
      </c>
      <c r="E651" s="3" t="s">
        <v>1811</v>
      </c>
      <c r="F651" s="3" t="s">
        <v>38</v>
      </c>
      <c r="G651" s="3" t="s">
        <v>1812</v>
      </c>
      <c r="H651" s="3" t="s">
        <v>16</v>
      </c>
      <c r="I651" s="3" t="s">
        <v>1813</v>
      </c>
    </row>
    <row r="652" spans="1:9">
      <c r="A652" s="3" t="s">
        <v>34</v>
      </c>
      <c r="B652" s="3" t="s">
        <v>1814</v>
      </c>
      <c r="C652" s="3" t="s">
        <v>1588</v>
      </c>
      <c r="D652" s="3" t="s">
        <v>103</v>
      </c>
      <c r="E652" s="3" t="s">
        <v>182</v>
      </c>
      <c r="F652" s="3" t="s">
        <v>38</v>
      </c>
      <c r="G652" s="3" t="s">
        <v>1815</v>
      </c>
      <c r="H652" s="3" t="s">
        <v>16</v>
      </c>
      <c r="I652" s="3" t="s">
        <v>1816</v>
      </c>
    </row>
    <row r="653" spans="1:9">
      <c r="A653" s="3" t="s">
        <v>34</v>
      </c>
      <c r="B653" s="3" t="s">
        <v>1817</v>
      </c>
      <c r="C653" s="3" t="s">
        <v>1588</v>
      </c>
      <c r="D653" s="3" t="s">
        <v>439</v>
      </c>
      <c r="E653" s="3" t="s">
        <v>439</v>
      </c>
      <c r="F653" s="3" t="s">
        <v>38</v>
      </c>
      <c r="G653" s="3" t="s">
        <v>439</v>
      </c>
      <c r="H653" s="3" t="s">
        <v>16</v>
      </c>
      <c r="I653" s="3" t="s">
        <v>1818</v>
      </c>
    </row>
    <row r="654" spans="1:9">
      <c r="A654" s="3" t="s">
        <v>34</v>
      </c>
      <c r="B654" s="3" t="s">
        <v>1819</v>
      </c>
      <c r="C654" s="3" t="s">
        <v>1588</v>
      </c>
      <c r="D654" s="3" t="s">
        <v>1820</v>
      </c>
      <c r="E654" s="3" t="s">
        <v>522</v>
      </c>
      <c r="F654" s="3" t="s">
        <v>38</v>
      </c>
      <c r="G654" s="3" t="s">
        <v>1821</v>
      </c>
      <c r="H654" s="3" t="s">
        <v>16</v>
      </c>
      <c r="I654" s="3" t="s">
        <v>1822</v>
      </c>
    </row>
    <row r="655" spans="1:9">
      <c r="A655" s="3" t="s">
        <v>34</v>
      </c>
      <c r="B655" s="3" t="s">
        <v>2004</v>
      </c>
      <c r="C655" s="3" t="s">
        <v>1588</v>
      </c>
      <c r="D655" s="3" t="s">
        <v>45</v>
      </c>
      <c r="E655" s="3" t="s">
        <v>1516</v>
      </c>
      <c r="F655" s="3" t="s">
        <v>38</v>
      </c>
      <c r="G655" s="3" t="s">
        <v>2005</v>
      </c>
      <c r="H655" s="3" t="s">
        <v>323</v>
      </c>
      <c r="I655" s="3" t="s">
        <v>2006</v>
      </c>
    </row>
    <row r="656" spans="1:9">
      <c r="A656" s="3" t="s">
        <v>34</v>
      </c>
      <c r="B656" s="3" t="s">
        <v>2026</v>
      </c>
      <c r="C656" s="3" t="s">
        <v>1588</v>
      </c>
      <c r="D656" s="3" t="s">
        <v>2027</v>
      </c>
      <c r="E656" s="3" t="s">
        <v>2028</v>
      </c>
      <c r="F656" s="3" t="s">
        <v>217</v>
      </c>
      <c r="G656" s="3" t="s">
        <v>2029</v>
      </c>
      <c r="H656" s="3" t="s">
        <v>16</v>
      </c>
      <c r="I656" s="3" t="s">
        <v>2030</v>
      </c>
    </row>
    <row r="657" spans="1:9">
      <c r="A657" s="3" t="s">
        <v>34</v>
      </c>
      <c r="B657" s="3" t="s">
        <v>2031</v>
      </c>
      <c r="C657" s="3" t="s">
        <v>1588</v>
      </c>
      <c r="D657" s="3" t="s">
        <v>128</v>
      </c>
      <c r="E657" s="3" t="s">
        <v>2032</v>
      </c>
      <c r="F657" s="3" t="s">
        <v>38</v>
      </c>
      <c r="G657" s="3" t="s">
        <v>2033</v>
      </c>
      <c r="H657" s="3" t="s">
        <v>16</v>
      </c>
      <c r="I657" s="3" t="s">
        <v>2034</v>
      </c>
    </row>
    <row r="658" spans="1:9">
      <c r="A658" s="3" t="s">
        <v>34</v>
      </c>
      <c r="B658" s="3" t="s">
        <v>1817</v>
      </c>
      <c r="C658" s="3" t="s">
        <v>1588</v>
      </c>
      <c r="D658" s="3" t="s">
        <v>1441</v>
      </c>
      <c r="E658" s="3" t="s">
        <v>182</v>
      </c>
      <c r="F658" s="3" t="s">
        <v>225</v>
      </c>
      <c r="G658" s="3" t="s">
        <v>2042</v>
      </c>
      <c r="H658" s="3" t="s">
        <v>16</v>
      </c>
      <c r="I658" s="3" t="s">
        <v>2043</v>
      </c>
    </row>
    <row r="659" spans="1:9">
      <c r="A659" s="3" t="s">
        <v>34</v>
      </c>
      <c r="B659" s="3" t="s">
        <v>1654</v>
      </c>
      <c r="C659" s="3" t="s">
        <v>1588</v>
      </c>
      <c r="D659" s="3" t="s">
        <v>2044</v>
      </c>
      <c r="E659" s="3" t="s">
        <v>2045</v>
      </c>
      <c r="F659" s="3" t="s">
        <v>38</v>
      </c>
      <c r="G659" s="3" t="s">
        <v>806</v>
      </c>
      <c r="H659" s="3" t="s">
        <v>16</v>
      </c>
      <c r="I659" s="3" t="s">
        <v>2046</v>
      </c>
    </row>
    <row r="660" spans="1:9">
      <c r="A660" s="3" t="s">
        <v>34</v>
      </c>
      <c r="B660" s="3" t="s">
        <v>2026</v>
      </c>
      <c r="C660" s="3" t="s">
        <v>1588</v>
      </c>
      <c r="D660" s="3" t="s">
        <v>2145</v>
      </c>
      <c r="E660" s="3" t="s">
        <v>2146</v>
      </c>
      <c r="F660" s="3" t="s">
        <v>217</v>
      </c>
      <c r="G660" s="3" t="s">
        <v>2029</v>
      </c>
      <c r="H660" s="3" t="s">
        <v>16</v>
      </c>
      <c r="I660" s="3" t="s">
        <v>2147</v>
      </c>
    </row>
    <row r="661" spans="1:9">
      <c r="A661" s="3" t="s">
        <v>34</v>
      </c>
      <c r="B661" s="3" t="s">
        <v>1633</v>
      </c>
      <c r="C661" s="3" t="s">
        <v>1588</v>
      </c>
      <c r="D661" s="3" t="s">
        <v>461</v>
      </c>
      <c r="E661" s="3" t="s">
        <v>2148</v>
      </c>
      <c r="F661" s="3" t="s">
        <v>217</v>
      </c>
      <c r="G661" s="3" t="s">
        <v>1636</v>
      </c>
      <c r="H661" s="3" t="s">
        <v>16</v>
      </c>
      <c r="I661" s="3" t="s">
        <v>2149</v>
      </c>
    </row>
    <row r="662" spans="1:9">
      <c r="A662" s="3" t="s">
        <v>34</v>
      </c>
      <c r="B662" s="3" t="s">
        <v>1817</v>
      </c>
      <c r="C662" s="3" t="s">
        <v>1588</v>
      </c>
      <c r="D662" s="3" t="s">
        <v>2150</v>
      </c>
      <c r="E662" s="3" t="s">
        <v>2151</v>
      </c>
      <c r="F662" s="3" t="s">
        <v>225</v>
      </c>
      <c r="G662" s="3" t="s">
        <v>2042</v>
      </c>
      <c r="H662" s="3" t="s">
        <v>16</v>
      </c>
      <c r="I662" s="3" t="s">
        <v>2152</v>
      </c>
    </row>
    <row r="663" spans="1:9">
      <c r="A663" s="3" t="s">
        <v>34</v>
      </c>
      <c r="B663" s="3" t="s">
        <v>2026</v>
      </c>
      <c r="C663" s="3" t="s">
        <v>1588</v>
      </c>
      <c r="D663" s="3" t="s">
        <v>2153</v>
      </c>
      <c r="E663" s="3" t="s">
        <v>866</v>
      </c>
      <c r="F663" s="3" t="s">
        <v>217</v>
      </c>
      <c r="G663" s="3" t="s">
        <v>2154</v>
      </c>
      <c r="H663" s="3" t="s">
        <v>16</v>
      </c>
      <c r="I663" s="3" t="s">
        <v>2155</v>
      </c>
    </row>
    <row r="664" spans="1:9">
      <c r="A664" s="3" t="s">
        <v>34</v>
      </c>
      <c r="B664" s="3" t="s">
        <v>2173</v>
      </c>
      <c r="C664" s="3" t="s">
        <v>2157</v>
      </c>
      <c r="D664" s="3" t="s">
        <v>2174</v>
      </c>
      <c r="E664" s="3" t="s">
        <v>2175</v>
      </c>
      <c r="F664" s="3" t="s">
        <v>217</v>
      </c>
      <c r="G664" s="3" t="s">
        <v>2176</v>
      </c>
      <c r="H664" s="3" t="s">
        <v>323</v>
      </c>
      <c r="I664" s="3" t="s">
        <v>2177</v>
      </c>
    </row>
    <row r="665" spans="1:9">
      <c r="A665" s="3" t="s">
        <v>34</v>
      </c>
      <c r="B665" s="3" t="s">
        <v>2178</v>
      </c>
      <c r="C665" s="3" t="s">
        <v>2157</v>
      </c>
      <c r="D665" s="3" t="s">
        <v>316</v>
      </c>
      <c r="E665" s="3" t="s">
        <v>2179</v>
      </c>
      <c r="F665" s="3" t="s">
        <v>38</v>
      </c>
      <c r="G665" s="3" t="s">
        <v>2180</v>
      </c>
      <c r="H665" s="3" t="s">
        <v>323</v>
      </c>
      <c r="I665" s="3" t="s">
        <v>2181</v>
      </c>
    </row>
    <row r="666" spans="1:9">
      <c r="A666" s="3" t="s">
        <v>34</v>
      </c>
      <c r="B666" s="3" t="s">
        <v>2178</v>
      </c>
      <c r="C666" s="3" t="s">
        <v>2157</v>
      </c>
      <c r="D666" s="3" t="s">
        <v>239</v>
      </c>
      <c r="E666" s="3" t="s">
        <v>2182</v>
      </c>
      <c r="F666" s="3" t="s">
        <v>217</v>
      </c>
      <c r="G666" s="3" t="s">
        <v>2183</v>
      </c>
      <c r="H666" s="3" t="s">
        <v>323</v>
      </c>
      <c r="I666" s="3" t="s">
        <v>2184</v>
      </c>
    </row>
    <row r="667" spans="1:9">
      <c r="A667" s="3" t="s">
        <v>34</v>
      </c>
      <c r="B667" s="3" t="s">
        <v>2188</v>
      </c>
      <c r="C667" s="3" t="s">
        <v>2157</v>
      </c>
      <c r="D667" s="3" t="s">
        <v>328</v>
      </c>
      <c r="E667" s="3" t="s">
        <v>2189</v>
      </c>
      <c r="F667" s="3" t="s">
        <v>217</v>
      </c>
      <c r="G667" s="3" t="s">
        <v>2190</v>
      </c>
      <c r="H667" s="3" t="s">
        <v>323</v>
      </c>
      <c r="I667" s="3" t="s">
        <v>2191</v>
      </c>
    </row>
    <row r="668" spans="1:9">
      <c r="A668" s="3" t="s">
        <v>34</v>
      </c>
      <c r="B668" s="3" t="s">
        <v>2198</v>
      </c>
      <c r="C668" s="3" t="s">
        <v>2157</v>
      </c>
      <c r="D668" s="3" t="s">
        <v>173</v>
      </c>
      <c r="E668" s="3" t="s">
        <v>2199</v>
      </c>
      <c r="F668" s="3" t="s">
        <v>217</v>
      </c>
      <c r="G668" s="3" t="s">
        <v>433</v>
      </c>
      <c r="H668" s="3" t="s">
        <v>16</v>
      </c>
      <c r="I668" s="3" t="s">
        <v>2200</v>
      </c>
    </row>
    <row r="669" spans="1:9">
      <c r="A669" s="3" t="s">
        <v>34</v>
      </c>
      <c r="B669" s="3" t="s">
        <v>2178</v>
      </c>
      <c r="C669" s="3" t="s">
        <v>2157</v>
      </c>
      <c r="D669" s="3" t="s">
        <v>654</v>
      </c>
      <c r="E669" s="3" t="s">
        <v>2201</v>
      </c>
      <c r="F669" s="3" t="s">
        <v>38</v>
      </c>
      <c r="G669" s="3" t="s">
        <v>2202</v>
      </c>
      <c r="H669" s="3" t="s">
        <v>323</v>
      </c>
      <c r="I669" s="3" t="s">
        <v>2203</v>
      </c>
    </row>
    <row r="670" spans="1:9">
      <c r="A670" s="3" t="s">
        <v>34</v>
      </c>
      <c r="B670" s="3" t="s">
        <v>2178</v>
      </c>
      <c r="C670" s="3" t="s">
        <v>2157</v>
      </c>
      <c r="D670" s="3" t="s">
        <v>447</v>
      </c>
      <c r="E670" s="3" t="s">
        <v>2211</v>
      </c>
      <c r="F670" s="3" t="s">
        <v>38</v>
      </c>
      <c r="G670" s="3" t="s">
        <v>2212</v>
      </c>
      <c r="H670" s="3" t="s">
        <v>323</v>
      </c>
      <c r="I670" s="3" t="s">
        <v>2213</v>
      </c>
    </row>
    <row r="671" spans="1:9">
      <c r="A671" s="3" t="s">
        <v>34</v>
      </c>
      <c r="B671" s="3" t="s">
        <v>2178</v>
      </c>
      <c r="C671" s="3" t="s">
        <v>2157</v>
      </c>
      <c r="D671" s="3" t="s">
        <v>2214</v>
      </c>
      <c r="E671" s="3" t="s">
        <v>2215</v>
      </c>
      <c r="F671" s="3" t="s">
        <v>38</v>
      </c>
      <c r="G671" s="3" t="s">
        <v>2216</v>
      </c>
      <c r="H671" s="3" t="s">
        <v>323</v>
      </c>
      <c r="I671" s="3" t="s">
        <v>2217</v>
      </c>
    </row>
    <row r="672" spans="1:9">
      <c r="A672" s="3" t="s">
        <v>34</v>
      </c>
      <c r="B672" s="3" t="s">
        <v>2218</v>
      </c>
      <c r="C672" s="3" t="s">
        <v>2157</v>
      </c>
      <c r="D672" s="3" t="s">
        <v>41</v>
      </c>
      <c r="E672" s="3" t="s">
        <v>2219</v>
      </c>
      <c r="F672" s="3" t="s">
        <v>38</v>
      </c>
      <c r="G672" s="3" t="s">
        <v>2220</v>
      </c>
      <c r="H672" s="3" t="s">
        <v>323</v>
      </c>
      <c r="I672" s="3" t="s">
        <v>2221</v>
      </c>
    </row>
    <row r="673" spans="1:9">
      <c r="A673" s="3" t="s">
        <v>34</v>
      </c>
      <c r="B673" s="3" t="s">
        <v>2222</v>
      </c>
      <c r="C673" s="3" t="s">
        <v>2157</v>
      </c>
      <c r="D673" s="3" t="s">
        <v>862</v>
      </c>
      <c r="E673" s="3" t="s">
        <v>2223</v>
      </c>
      <c r="F673" s="3" t="s">
        <v>38</v>
      </c>
      <c r="G673" s="3" t="s">
        <v>2224</v>
      </c>
      <c r="H673" s="3" t="s">
        <v>323</v>
      </c>
      <c r="I673" s="3" t="s">
        <v>2225</v>
      </c>
    </row>
    <row r="674" spans="1:9">
      <c r="A674" s="3" t="s">
        <v>34</v>
      </c>
      <c r="B674" s="3" t="s">
        <v>2226</v>
      </c>
      <c r="C674" s="3" t="s">
        <v>2157</v>
      </c>
      <c r="D674" s="3" t="s">
        <v>2227</v>
      </c>
      <c r="E674" s="3" t="s">
        <v>2228</v>
      </c>
      <c r="F674" s="3" t="s">
        <v>217</v>
      </c>
      <c r="G674" s="3" t="s">
        <v>2229</v>
      </c>
      <c r="H674" s="3" t="s">
        <v>323</v>
      </c>
      <c r="I674" s="3" t="s">
        <v>2230</v>
      </c>
    </row>
    <row r="675" spans="1:9">
      <c r="A675" s="3" t="s">
        <v>34</v>
      </c>
      <c r="B675" s="3" t="s">
        <v>2231</v>
      </c>
      <c r="C675" s="3" t="s">
        <v>2157</v>
      </c>
      <c r="D675" s="3" t="s">
        <v>483</v>
      </c>
      <c r="E675" s="3" t="s">
        <v>1220</v>
      </c>
      <c r="F675" s="3" t="s">
        <v>217</v>
      </c>
      <c r="G675" s="3" t="s">
        <v>2232</v>
      </c>
      <c r="H675" s="3" t="s">
        <v>323</v>
      </c>
      <c r="I675" s="3" t="s">
        <v>2233</v>
      </c>
    </row>
    <row r="676" spans="1:9">
      <c r="A676" s="3" t="s">
        <v>34</v>
      </c>
      <c r="B676" s="3" t="s">
        <v>2234</v>
      </c>
      <c r="C676" s="3" t="s">
        <v>2157</v>
      </c>
      <c r="D676" s="3" t="s">
        <v>2235</v>
      </c>
      <c r="E676" s="3" t="s">
        <v>2236</v>
      </c>
      <c r="F676" s="3" t="s">
        <v>38</v>
      </c>
      <c r="G676" s="3" t="s">
        <v>2237</v>
      </c>
      <c r="H676" s="3" t="s">
        <v>16</v>
      </c>
      <c r="I676" s="3" t="s">
        <v>2238</v>
      </c>
    </row>
    <row r="677" spans="1:9">
      <c r="A677" s="3" t="s">
        <v>34</v>
      </c>
      <c r="B677" s="3" t="s">
        <v>2239</v>
      </c>
      <c r="C677" s="3" t="s">
        <v>2157</v>
      </c>
      <c r="D677" s="3" t="s">
        <v>239</v>
      </c>
      <c r="E677" s="3" t="s">
        <v>1497</v>
      </c>
      <c r="F677" s="3" t="s">
        <v>38</v>
      </c>
      <c r="G677" s="3" t="s">
        <v>1313</v>
      </c>
      <c r="H677" s="3" t="s">
        <v>323</v>
      </c>
      <c r="I677" s="3" t="s">
        <v>2240</v>
      </c>
    </row>
    <row r="678" spans="1:9">
      <c r="A678" s="3" t="s">
        <v>34</v>
      </c>
      <c r="B678" s="3" t="s">
        <v>2241</v>
      </c>
      <c r="C678" s="3" t="s">
        <v>2157</v>
      </c>
      <c r="D678" s="3" t="s">
        <v>439</v>
      </c>
      <c r="E678" s="3" t="s">
        <v>439</v>
      </c>
      <c r="F678" s="3" t="s">
        <v>217</v>
      </c>
      <c r="G678" s="3" t="s">
        <v>439</v>
      </c>
      <c r="H678" s="3" t="s">
        <v>323</v>
      </c>
      <c r="I678" s="3" t="s">
        <v>2242</v>
      </c>
    </row>
    <row r="679" spans="1:9">
      <c r="A679" s="3" t="s">
        <v>34</v>
      </c>
      <c r="B679" s="3" t="s">
        <v>2243</v>
      </c>
      <c r="C679" s="3" t="s">
        <v>2157</v>
      </c>
      <c r="D679" s="3" t="s">
        <v>420</v>
      </c>
      <c r="E679" s="3" t="s">
        <v>522</v>
      </c>
      <c r="F679" s="3" t="s">
        <v>217</v>
      </c>
      <c r="G679" s="3" t="s">
        <v>433</v>
      </c>
      <c r="H679" s="3" t="s">
        <v>16</v>
      </c>
      <c r="I679" s="3" t="s">
        <v>2244</v>
      </c>
    </row>
    <row r="680" spans="1:9">
      <c r="A680" s="3" t="s">
        <v>34</v>
      </c>
      <c r="B680" s="3" t="s">
        <v>2245</v>
      </c>
      <c r="C680" s="3" t="s">
        <v>2157</v>
      </c>
      <c r="D680" s="3" t="s">
        <v>1276</v>
      </c>
      <c r="E680" s="3" t="s">
        <v>1594</v>
      </c>
      <c r="F680" s="3" t="s">
        <v>217</v>
      </c>
      <c r="G680" s="3" t="s">
        <v>2246</v>
      </c>
      <c r="H680" s="3" t="s">
        <v>16</v>
      </c>
      <c r="I680" s="3" t="s">
        <v>2247</v>
      </c>
    </row>
    <row r="681" spans="1:9">
      <c r="A681" s="3" t="s">
        <v>34</v>
      </c>
      <c r="B681" s="3" t="s">
        <v>2248</v>
      </c>
      <c r="C681" s="3" t="s">
        <v>2157</v>
      </c>
      <c r="D681" s="3" t="s">
        <v>219</v>
      </c>
      <c r="E681" s="3" t="s">
        <v>2249</v>
      </c>
      <c r="F681" s="3" t="s">
        <v>217</v>
      </c>
      <c r="G681" s="3" t="s">
        <v>2250</v>
      </c>
      <c r="H681" s="3" t="s">
        <v>16</v>
      </c>
      <c r="I681" s="3" t="s">
        <v>2251</v>
      </c>
    </row>
    <row r="682" spans="1:9">
      <c r="A682" s="3" t="s">
        <v>34</v>
      </c>
      <c r="B682" s="3" t="s">
        <v>2226</v>
      </c>
      <c r="C682" s="3" t="s">
        <v>2157</v>
      </c>
      <c r="D682" s="3" t="s">
        <v>321</v>
      </c>
      <c r="E682" s="3" t="s">
        <v>2252</v>
      </c>
      <c r="F682" s="3" t="s">
        <v>225</v>
      </c>
      <c r="G682" s="3" t="s">
        <v>472</v>
      </c>
      <c r="H682" s="3" t="s">
        <v>16</v>
      </c>
      <c r="I682" s="3" t="s">
        <v>2253</v>
      </c>
    </row>
    <row r="683" spans="1:9">
      <c r="A683" s="3" t="s">
        <v>34</v>
      </c>
      <c r="B683" s="3" t="s">
        <v>2254</v>
      </c>
      <c r="C683" s="3" t="s">
        <v>2157</v>
      </c>
      <c r="D683" s="3" t="s">
        <v>439</v>
      </c>
      <c r="E683" s="3" t="s">
        <v>439</v>
      </c>
      <c r="F683" s="3" t="s">
        <v>217</v>
      </c>
      <c r="G683" s="3" t="s">
        <v>439</v>
      </c>
      <c r="H683" s="3" t="s">
        <v>16</v>
      </c>
      <c r="I683" s="3" t="s">
        <v>2255</v>
      </c>
    </row>
    <row r="684" spans="1:9">
      <c r="A684" s="3" t="s">
        <v>34</v>
      </c>
      <c r="B684" s="3" t="s">
        <v>2256</v>
      </c>
      <c r="C684" s="3" t="s">
        <v>2157</v>
      </c>
      <c r="D684" s="3" t="s">
        <v>142</v>
      </c>
      <c r="E684" s="3" t="s">
        <v>2257</v>
      </c>
      <c r="F684" s="3" t="s">
        <v>217</v>
      </c>
      <c r="G684" s="3" t="s">
        <v>2258</v>
      </c>
      <c r="H684" s="3" t="s">
        <v>16</v>
      </c>
      <c r="I684" s="3" t="s">
        <v>2259</v>
      </c>
    </row>
    <row r="685" spans="1:9">
      <c r="A685" s="3" t="s">
        <v>34</v>
      </c>
      <c r="B685" s="3" t="s">
        <v>2260</v>
      </c>
      <c r="C685" s="3" t="s">
        <v>2157</v>
      </c>
      <c r="D685" s="3" t="s">
        <v>2261</v>
      </c>
      <c r="E685" s="3" t="s">
        <v>2262</v>
      </c>
      <c r="F685" s="3" t="s">
        <v>217</v>
      </c>
      <c r="G685" s="3" t="s">
        <v>2263</v>
      </c>
      <c r="H685" s="3" t="s">
        <v>16</v>
      </c>
      <c r="I685" s="3" t="s">
        <v>2264</v>
      </c>
    </row>
    <row r="686" spans="1:9">
      <c r="A686" s="3" t="s">
        <v>34</v>
      </c>
      <c r="B686" s="3" t="s">
        <v>2265</v>
      </c>
      <c r="C686" s="3" t="s">
        <v>2157</v>
      </c>
      <c r="D686" s="3" t="s">
        <v>1276</v>
      </c>
      <c r="E686" s="3" t="s">
        <v>2266</v>
      </c>
      <c r="F686" s="3" t="s">
        <v>225</v>
      </c>
      <c r="G686" s="3" t="s">
        <v>1177</v>
      </c>
      <c r="H686" s="3" t="s">
        <v>16</v>
      </c>
      <c r="I686" s="3" t="s">
        <v>2267</v>
      </c>
    </row>
    <row r="687" spans="1:9">
      <c r="A687" s="3" t="s">
        <v>34</v>
      </c>
      <c r="B687" s="3" t="s">
        <v>2268</v>
      </c>
      <c r="C687" s="3" t="s">
        <v>2157</v>
      </c>
      <c r="D687" s="3" t="s">
        <v>116</v>
      </c>
      <c r="E687" s="3" t="s">
        <v>2269</v>
      </c>
      <c r="F687" s="3" t="s">
        <v>217</v>
      </c>
      <c r="G687" s="3" t="s">
        <v>433</v>
      </c>
      <c r="H687" s="3" t="s">
        <v>16</v>
      </c>
      <c r="I687" s="3" t="s">
        <v>2270</v>
      </c>
    </row>
    <row r="688" spans="1:9">
      <c r="A688" s="3" t="s">
        <v>34</v>
      </c>
      <c r="B688" s="3" t="s">
        <v>2271</v>
      </c>
      <c r="C688" s="3" t="s">
        <v>2157</v>
      </c>
      <c r="D688" s="3" t="s">
        <v>595</v>
      </c>
      <c r="E688" s="3" t="s">
        <v>2272</v>
      </c>
      <c r="F688" s="3" t="s">
        <v>38</v>
      </c>
      <c r="G688" s="3" t="s">
        <v>1082</v>
      </c>
      <c r="H688" s="3" t="s">
        <v>16</v>
      </c>
      <c r="I688" s="3" t="s">
        <v>2273</v>
      </c>
    </row>
    <row r="689" spans="1:9">
      <c r="A689" s="3" t="s">
        <v>34</v>
      </c>
      <c r="B689" s="3" t="s">
        <v>2274</v>
      </c>
      <c r="C689" s="3" t="s">
        <v>2157</v>
      </c>
      <c r="D689" s="3" t="s">
        <v>640</v>
      </c>
      <c r="E689" s="3" t="s">
        <v>2275</v>
      </c>
      <c r="F689" s="3" t="s">
        <v>38</v>
      </c>
      <c r="G689" s="3" t="s">
        <v>2276</v>
      </c>
      <c r="H689" s="3" t="s">
        <v>16</v>
      </c>
      <c r="I689" s="3" t="s">
        <v>2277</v>
      </c>
    </row>
    <row r="690" spans="1:9">
      <c r="A690" s="3" t="s">
        <v>34</v>
      </c>
      <c r="B690" s="3" t="s">
        <v>2178</v>
      </c>
      <c r="C690" s="3" t="s">
        <v>2157</v>
      </c>
      <c r="D690" s="3" t="s">
        <v>107</v>
      </c>
      <c r="E690" s="3" t="s">
        <v>2278</v>
      </c>
      <c r="F690" s="3" t="s">
        <v>217</v>
      </c>
      <c r="G690" s="3" t="s">
        <v>674</v>
      </c>
      <c r="H690" s="3" t="s">
        <v>16</v>
      </c>
      <c r="I690" s="3" t="s">
        <v>2279</v>
      </c>
    </row>
    <row r="691" spans="1:9">
      <c r="A691" s="3" t="s">
        <v>34</v>
      </c>
      <c r="B691" s="3" t="s">
        <v>2280</v>
      </c>
      <c r="C691" s="3" t="s">
        <v>2157</v>
      </c>
      <c r="D691" s="3" t="s">
        <v>116</v>
      </c>
      <c r="E691" s="3" t="s">
        <v>2281</v>
      </c>
      <c r="F691" s="3" t="s">
        <v>217</v>
      </c>
      <c r="G691" s="3" t="s">
        <v>245</v>
      </c>
      <c r="H691" s="3" t="s">
        <v>16</v>
      </c>
      <c r="I691" s="3" t="s">
        <v>2282</v>
      </c>
    </row>
    <row r="692" spans="1:9">
      <c r="A692" s="3" t="s">
        <v>34</v>
      </c>
      <c r="B692" s="3" t="s">
        <v>2283</v>
      </c>
      <c r="C692" s="3" t="s">
        <v>2157</v>
      </c>
      <c r="D692" s="3" t="s">
        <v>439</v>
      </c>
      <c r="E692" s="3" t="s">
        <v>439</v>
      </c>
      <c r="F692" s="3" t="s">
        <v>217</v>
      </c>
      <c r="G692" s="3" t="s">
        <v>439</v>
      </c>
      <c r="H692" s="3" t="s">
        <v>16</v>
      </c>
      <c r="I692" s="3" t="s">
        <v>2284</v>
      </c>
    </row>
    <row r="693" spans="1:9">
      <c r="A693" s="3" t="s">
        <v>34</v>
      </c>
      <c r="B693" s="3" t="s">
        <v>2285</v>
      </c>
      <c r="C693" s="3" t="s">
        <v>2157</v>
      </c>
      <c r="D693" s="3" t="s">
        <v>348</v>
      </c>
      <c r="E693" s="3" t="s">
        <v>2286</v>
      </c>
      <c r="F693" s="3" t="s">
        <v>38</v>
      </c>
      <c r="G693" s="3" t="s">
        <v>511</v>
      </c>
      <c r="H693" s="3" t="s">
        <v>16</v>
      </c>
      <c r="I693" s="3" t="s">
        <v>2287</v>
      </c>
    </row>
    <row r="694" spans="1:9">
      <c r="A694" s="3" t="s">
        <v>34</v>
      </c>
      <c r="B694" s="3" t="s">
        <v>2288</v>
      </c>
      <c r="C694" s="3" t="s">
        <v>2157</v>
      </c>
      <c r="D694" s="3" t="s">
        <v>257</v>
      </c>
      <c r="E694" s="3" t="s">
        <v>655</v>
      </c>
      <c r="F694" s="3" t="s">
        <v>217</v>
      </c>
      <c r="G694" s="3" t="s">
        <v>2289</v>
      </c>
      <c r="H694" s="3" t="s">
        <v>16</v>
      </c>
      <c r="I694" s="3" t="s">
        <v>2290</v>
      </c>
    </row>
    <row r="695" spans="1:9">
      <c r="A695" s="3" t="s">
        <v>34</v>
      </c>
      <c r="B695" s="3" t="s">
        <v>2291</v>
      </c>
      <c r="C695" s="3" t="s">
        <v>2157</v>
      </c>
      <c r="D695" s="3" t="s">
        <v>1265</v>
      </c>
      <c r="E695" s="3" t="s">
        <v>2292</v>
      </c>
      <c r="F695" s="3" t="s">
        <v>38</v>
      </c>
      <c r="G695" s="3" t="s">
        <v>2293</v>
      </c>
      <c r="H695" s="3" t="s">
        <v>16</v>
      </c>
      <c r="I695" s="3" t="s">
        <v>2294</v>
      </c>
    </row>
    <row r="696" spans="1:9">
      <c r="A696" s="3" t="s">
        <v>34</v>
      </c>
      <c r="B696" s="3" t="s">
        <v>2295</v>
      </c>
      <c r="C696" s="3" t="s">
        <v>2157</v>
      </c>
      <c r="D696" s="3" t="s">
        <v>2296</v>
      </c>
      <c r="E696" s="3" t="s">
        <v>2297</v>
      </c>
      <c r="F696" s="3" t="s">
        <v>217</v>
      </c>
      <c r="G696" s="3" t="s">
        <v>97</v>
      </c>
      <c r="H696" s="3" t="s">
        <v>16</v>
      </c>
      <c r="I696" s="3" t="s">
        <v>2298</v>
      </c>
    </row>
    <row r="697" spans="1:9">
      <c r="A697" s="3" t="s">
        <v>34</v>
      </c>
      <c r="B697" s="3" t="s">
        <v>2299</v>
      </c>
      <c r="C697" s="3" t="s">
        <v>2157</v>
      </c>
      <c r="D697" s="3" t="s">
        <v>2109</v>
      </c>
      <c r="E697" s="3" t="s">
        <v>2300</v>
      </c>
      <c r="F697" s="3" t="s">
        <v>217</v>
      </c>
      <c r="G697" s="3" t="s">
        <v>506</v>
      </c>
      <c r="H697" s="3" t="s">
        <v>16</v>
      </c>
      <c r="I697" s="3" t="s">
        <v>2301</v>
      </c>
    </row>
    <row r="698" spans="1:9">
      <c r="A698" s="3" t="s">
        <v>34</v>
      </c>
      <c r="B698" s="3" t="s">
        <v>2302</v>
      </c>
      <c r="C698" s="3" t="s">
        <v>2157</v>
      </c>
      <c r="D698" s="3" t="s">
        <v>95</v>
      </c>
      <c r="E698" s="3" t="s">
        <v>2303</v>
      </c>
      <c r="F698" s="3" t="s">
        <v>217</v>
      </c>
      <c r="G698" s="3" t="s">
        <v>472</v>
      </c>
      <c r="H698" s="3" t="s">
        <v>16</v>
      </c>
      <c r="I698" s="3" t="s">
        <v>2304</v>
      </c>
    </row>
    <row r="699" spans="1:9">
      <c r="A699" s="3" t="s">
        <v>34</v>
      </c>
      <c r="B699" s="3" t="s">
        <v>2305</v>
      </c>
      <c r="C699" s="3" t="s">
        <v>2157</v>
      </c>
      <c r="D699" s="3" t="s">
        <v>1265</v>
      </c>
      <c r="E699" s="3" t="s">
        <v>2306</v>
      </c>
      <c r="F699" s="3" t="s">
        <v>38</v>
      </c>
      <c r="G699" s="3" t="s">
        <v>1993</v>
      </c>
      <c r="H699" s="3" t="s">
        <v>16</v>
      </c>
      <c r="I699" s="3" t="s">
        <v>2307</v>
      </c>
    </row>
    <row r="700" spans="1:9">
      <c r="A700" s="3" t="s">
        <v>34</v>
      </c>
      <c r="B700" s="3" t="s">
        <v>2308</v>
      </c>
      <c r="C700" s="3" t="s">
        <v>2157</v>
      </c>
      <c r="D700" s="3" t="s">
        <v>2309</v>
      </c>
      <c r="E700" s="3" t="s">
        <v>1151</v>
      </c>
      <c r="F700" s="3" t="s">
        <v>38</v>
      </c>
      <c r="G700" s="3" t="s">
        <v>2310</v>
      </c>
      <c r="H700" s="3" t="s">
        <v>16</v>
      </c>
      <c r="I700" s="3" t="s">
        <v>2311</v>
      </c>
    </row>
    <row r="701" spans="1:9">
      <c r="A701" s="3" t="s">
        <v>34</v>
      </c>
      <c r="B701" s="3" t="s">
        <v>2312</v>
      </c>
      <c r="C701" s="3" t="s">
        <v>2157</v>
      </c>
      <c r="D701" s="3" t="s">
        <v>367</v>
      </c>
      <c r="E701" s="3" t="s">
        <v>2313</v>
      </c>
      <c r="F701" s="3" t="s">
        <v>217</v>
      </c>
      <c r="G701" s="3" t="s">
        <v>1313</v>
      </c>
      <c r="H701" s="3" t="s">
        <v>16</v>
      </c>
      <c r="I701" s="3" t="s">
        <v>2314</v>
      </c>
    </row>
    <row r="702" spans="1:9">
      <c r="A702" s="3" t="s">
        <v>34</v>
      </c>
      <c r="B702" s="3" t="s">
        <v>2315</v>
      </c>
      <c r="C702" s="3" t="s">
        <v>2157</v>
      </c>
      <c r="D702" s="3" t="s">
        <v>239</v>
      </c>
      <c r="E702" s="3" t="s">
        <v>2316</v>
      </c>
      <c r="F702" s="3" t="s">
        <v>14</v>
      </c>
      <c r="G702" s="3" t="s">
        <v>2317</v>
      </c>
      <c r="H702" s="3" t="s">
        <v>16</v>
      </c>
      <c r="I702" s="3" t="s">
        <v>2318</v>
      </c>
    </row>
    <row r="703" spans="1:9">
      <c r="A703" s="3" t="s">
        <v>34</v>
      </c>
      <c r="B703" s="3" t="s">
        <v>2222</v>
      </c>
      <c r="C703" s="3" t="s">
        <v>2157</v>
      </c>
      <c r="D703" s="3" t="s">
        <v>316</v>
      </c>
      <c r="E703" s="3" t="s">
        <v>2319</v>
      </c>
      <c r="F703" s="3" t="s">
        <v>217</v>
      </c>
      <c r="G703" s="3" t="s">
        <v>2320</v>
      </c>
      <c r="H703" s="3" t="s">
        <v>16</v>
      </c>
      <c r="I703" s="3" t="s">
        <v>2321</v>
      </c>
    </row>
    <row r="704" spans="1:9">
      <c r="A704" s="3" t="s">
        <v>34</v>
      </c>
      <c r="B704" s="3" t="s">
        <v>2326</v>
      </c>
      <c r="C704" s="3" t="s">
        <v>2157</v>
      </c>
      <c r="D704" s="3" t="s">
        <v>2064</v>
      </c>
      <c r="E704" s="3" t="s">
        <v>2327</v>
      </c>
      <c r="F704" s="3" t="s">
        <v>38</v>
      </c>
      <c r="G704" s="3" t="s">
        <v>385</v>
      </c>
      <c r="H704" s="3" t="s">
        <v>323</v>
      </c>
      <c r="I704" s="3" t="s">
        <v>2328</v>
      </c>
    </row>
    <row r="705" spans="1:9">
      <c r="A705" s="3" t="s">
        <v>34</v>
      </c>
      <c r="B705" s="3" t="s">
        <v>2231</v>
      </c>
      <c r="C705" s="3" t="s">
        <v>2157</v>
      </c>
      <c r="D705" s="3" t="s">
        <v>2329</v>
      </c>
      <c r="E705" s="3" t="s">
        <v>2330</v>
      </c>
      <c r="F705" s="3" t="s">
        <v>217</v>
      </c>
      <c r="G705" s="3" t="s">
        <v>2331</v>
      </c>
      <c r="H705" s="3" t="s">
        <v>16</v>
      </c>
      <c r="I705" s="3" t="s">
        <v>2332</v>
      </c>
    </row>
    <row r="706" spans="1:9">
      <c r="A706" s="3" t="s">
        <v>34</v>
      </c>
      <c r="B706" s="3" t="s">
        <v>2338</v>
      </c>
      <c r="C706" s="3" t="s">
        <v>2157</v>
      </c>
      <c r="D706" s="3" t="s">
        <v>2339</v>
      </c>
      <c r="E706" s="3" t="s">
        <v>2340</v>
      </c>
      <c r="F706" s="3" t="s">
        <v>217</v>
      </c>
      <c r="G706" s="3" t="s">
        <v>2341</v>
      </c>
      <c r="H706" s="3" t="s">
        <v>323</v>
      </c>
      <c r="I706" s="3" t="s">
        <v>2342</v>
      </c>
    </row>
    <row r="707" spans="1:9">
      <c r="A707" s="3" t="s">
        <v>34</v>
      </c>
      <c r="B707" s="3" t="s">
        <v>2343</v>
      </c>
      <c r="C707" s="3" t="s">
        <v>2157</v>
      </c>
      <c r="D707" s="3" t="s">
        <v>2344</v>
      </c>
      <c r="E707" s="3" t="s">
        <v>2345</v>
      </c>
      <c r="F707" s="3" t="s">
        <v>217</v>
      </c>
      <c r="G707" s="3" t="s">
        <v>2346</v>
      </c>
      <c r="H707" s="3" t="s">
        <v>323</v>
      </c>
      <c r="I707" s="3" t="s">
        <v>2347</v>
      </c>
    </row>
    <row r="708" spans="1:9">
      <c r="A708" s="3" t="s">
        <v>34</v>
      </c>
      <c r="B708" s="3" t="s">
        <v>2363</v>
      </c>
      <c r="C708" s="3" t="s">
        <v>2157</v>
      </c>
      <c r="D708" s="3" t="s">
        <v>530</v>
      </c>
      <c r="E708" s="3" t="s">
        <v>2364</v>
      </c>
      <c r="F708" s="3" t="s">
        <v>38</v>
      </c>
      <c r="G708" s="3" t="s">
        <v>2365</v>
      </c>
      <c r="H708" s="3" t="s">
        <v>323</v>
      </c>
      <c r="I708" s="3" t="s">
        <v>2366</v>
      </c>
    </row>
    <row r="709" spans="1:9">
      <c r="A709" s="3" t="s">
        <v>34</v>
      </c>
      <c r="B709" s="3" t="s">
        <v>2178</v>
      </c>
      <c r="C709" s="3" t="s">
        <v>2157</v>
      </c>
      <c r="D709" s="3" t="s">
        <v>2401</v>
      </c>
      <c r="E709" s="3" t="s">
        <v>1060</v>
      </c>
      <c r="F709" s="3" t="s">
        <v>38</v>
      </c>
      <c r="G709" s="3" t="s">
        <v>2402</v>
      </c>
      <c r="H709" s="3" t="s">
        <v>16</v>
      </c>
      <c r="I709" s="3" t="s">
        <v>2403</v>
      </c>
    </row>
    <row r="710" spans="1:9">
      <c r="A710" s="3" t="s">
        <v>34</v>
      </c>
      <c r="B710" s="3" t="s">
        <v>2178</v>
      </c>
      <c r="C710" s="3" t="s">
        <v>2157</v>
      </c>
      <c r="D710" s="3" t="s">
        <v>605</v>
      </c>
      <c r="E710" s="3" t="s">
        <v>2404</v>
      </c>
      <c r="F710" s="3" t="s">
        <v>38</v>
      </c>
      <c r="G710" s="3" t="s">
        <v>2405</v>
      </c>
      <c r="H710" s="3" t="s">
        <v>323</v>
      </c>
      <c r="I710" s="3" t="s">
        <v>2406</v>
      </c>
    </row>
    <row r="711" spans="1:9">
      <c r="A711" s="3" t="s">
        <v>34</v>
      </c>
      <c r="B711" s="3" t="s">
        <v>2178</v>
      </c>
      <c r="C711" s="3" t="s">
        <v>2157</v>
      </c>
      <c r="D711" s="3" t="s">
        <v>2407</v>
      </c>
      <c r="E711" s="3" t="s">
        <v>2408</v>
      </c>
      <c r="F711" s="3" t="s">
        <v>38</v>
      </c>
      <c r="G711" s="3" t="s">
        <v>2409</v>
      </c>
      <c r="H711" s="3" t="s">
        <v>16</v>
      </c>
      <c r="I711" s="3" t="s">
        <v>2410</v>
      </c>
    </row>
    <row r="712" spans="1:9">
      <c r="A712" s="3" t="s">
        <v>34</v>
      </c>
      <c r="B712" s="3" t="s">
        <v>2178</v>
      </c>
      <c r="C712" s="3" t="s">
        <v>2157</v>
      </c>
      <c r="D712" s="3" t="s">
        <v>107</v>
      </c>
      <c r="E712" s="3" t="s">
        <v>2411</v>
      </c>
      <c r="F712" s="3" t="s">
        <v>38</v>
      </c>
      <c r="G712" s="3" t="s">
        <v>2412</v>
      </c>
      <c r="H712" s="3" t="s">
        <v>16</v>
      </c>
      <c r="I712" s="3" t="s">
        <v>2413</v>
      </c>
    </row>
    <row r="713" spans="1:9">
      <c r="A713" s="3" t="s">
        <v>34</v>
      </c>
      <c r="B713" s="3" t="s">
        <v>2178</v>
      </c>
      <c r="C713" s="3" t="s">
        <v>2157</v>
      </c>
      <c r="D713" s="3" t="s">
        <v>2414</v>
      </c>
      <c r="E713" s="3" t="s">
        <v>2415</v>
      </c>
      <c r="F713" s="3" t="s">
        <v>38</v>
      </c>
      <c r="G713" s="3" t="s">
        <v>2416</v>
      </c>
      <c r="H713" s="3" t="s">
        <v>16</v>
      </c>
      <c r="I713" s="3" t="s">
        <v>2417</v>
      </c>
    </row>
    <row r="714" spans="1:9">
      <c r="A714" s="3" t="s">
        <v>34</v>
      </c>
      <c r="B714" s="3" t="s">
        <v>2178</v>
      </c>
      <c r="C714" s="3" t="s">
        <v>2157</v>
      </c>
      <c r="D714" s="3" t="s">
        <v>282</v>
      </c>
      <c r="E714" s="3" t="s">
        <v>2418</v>
      </c>
      <c r="F714" s="3" t="s">
        <v>38</v>
      </c>
      <c r="G714" s="3" t="s">
        <v>2419</v>
      </c>
      <c r="H714" s="3" t="s">
        <v>16</v>
      </c>
      <c r="I714" s="3" t="s">
        <v>2420</v>
      </c>
    </row>
    <row r="715" spans="1:9">
      <c r="A715" s="3" t="s">
        <v>34</v>
      </c>
      <c r="B715" s="3" t="s">
        <v>2178</v>
      </c>
      <c r="C715" s="3" t="s">
        <v>2157</v>
      </c>
      <c r="D715" s="3" t="s">
        <v>2421</v>
      </c>
      <c r="E715" s="3" t="s">
        <v>2422</v>
      </c>
      <c r="F715" s="3" t="s">
        <v>38</v>
      </c>
      <c r="G715" s="3" t="s">
        <v>2423</v>
      </c>
      <c r="H715" s="3" t="s">
        <v>16</v>
      </c>
      <c r="I715" s="3" t="s">
        <v>2424</v>
      </c>
    </row>
    <row r="716" spans="1:9">
      <c r="A716" s="3" t="s">
        <v>34</v>
      </c>
      <c r="B716" s="3" t="s">
        <v>1717</v>
      </c>
      <c r="C716" s="3" t="s">
        <v>2157</v>
      </c>
      <c r="D716" s="3" t="s">
        <v>2296</v>
      </c>
      <c r="E716" s="3" t="s">
        <v>2425</v>
      </c>
      <c r="F716" s="3" t="s">
        <v>38</v>
      </c>
      <c r="G716" s="3" t="s">
        <v>2426</v>
      </c>
      <c r="H716" s="3" t="s">
        <v>16</v>
      </c>
      <c r="I716" s="3" t="s">
        <v>2427</v>
      </c>
    </row>
    <row r="717" spans="1:9">
      <c r="A717" s="3" t="s">
        <v>34</v>
      </c>
      <c r="B717" s="3" t="s">
        <v>1717</v>
      </c>
      <c r="C717" s="3" t="s">
        <v>2157</v>
      </c>
      <c r="D717" s="3" t="s">
        <v>1947</v>
      </c>
      <c r="E717" s="3" t="s">
        <v>1407</v>
      </c>
      <c r="F717" s="3" t="s">
        <v>38</v>
      </c>
      <c r="G717" s="3" t="s">
        <v>385</v>
      </c>
      <c r="H717" s="3" t="s">
        <v>16</v>
      </c>
      <c r="I717" s="3" t="s">
        <v>2428</v>
      </c>
    </row>
    <row r="718" spans="1:9">
      <c r="A718" s="3" t="s">
        <v>34</v>
      </c>
      <c r="B718" s="3" t="s">
        <v>90</v>
      </c>
      <c r="C718" s="3" t="s">
        <v>2157</v>
      </c>
      <c r="D718" s="3" t="s">
        <v>1272</v>
      </c>
      <c r="E718" s="3" t="s">
        <v>2429</v>
      </c>
      <c r="F718" s="3" t="s">
        <v>217</v>
      </c>
      <c r="G718" s="3" t="s">
        <v>2430</v>
      </c>
      <c r="H718" s="3" t="s">
        <v>16</v>
      </c>
      <c r="I718" s="3" t="s">
        <v>2431</v>
      </c>
    </row>
    <row r="719" spans="1:9">
      <c r="A719" s="3" t="s">
        <v>34</v>
      </c>
      <c r="B719" s="3" t="s">
        <v>2231</v>
      </c>
      <c r="C719" s="3" t="s">
        <v>2157</v>
      </c>
      <c r="D719" s="3" t="s">
        <v>358</v>
      </c>
      <c r="E719" s="3" t="s">
        <v>2432</v>
      </c>
      <c r="F719" s="3" t="s">
        <v>217</v>
      </c>
      <c r="G719" s="3" t="s">
        <v>2433</v>
      </c>
      <c r="H719" s="3" t="s">
        <v>16</v>
      </c>
      <c r="I719" s="3" t="s">
        <v>2434</v>
      </c>
    </row>
    <row r="720" spans="1:9">
      <c r="A720" s="3" t="s">
        <v>34</v>
      </c>
      <c r="B720" s="3" t="s">
        <v>2438</v>
      </c>
      <c r="C720" s="3" t="s">
        <v>2157</v>
      </c>
      <c r="D720" s="3" t="s">
        <v>165</v>
      </c>
      <c r="E720" s="3" t="s">
        <v>2425</v>
      </c>
      <c r="F720" s="3" t="s">
        <v>38</v>
      </c>
      <c r="G720" s="3" t="s">
        <v>2439</v>
      </c>
      <c r="H720" s="3" t="s">
        <v>323</v>
      </c>
      <c r="I720" s="3" t="s">
        <v>2440</v>
      </c>
    </row>
    <row r="721" spans="1:9">
      <c r="A721" s="3" t="s">
        <v>34</v>
      </c>
      <c r="B721" s="3" t="s">
        <v>2438</v>
      </c>
      <c r="C721" s="3" t="s">
        <v>2157</v>
      </c>
      <c r="D721" s="3" t="s">
        <v>420</v>
      </c>
      <c r="E721" s="3" t="s">
        <v>2441</v>
      </c>
      <c r="F721" s="3" t="s">
        <v>38</v>
      </c>
      <c r="G721" s="3" t="s">
        <v>2442</v>
      </c>
      <c r="H721" s="3" t="s">
        <v>323</v>
      </c>
      <c r="I721" s="3" t="s">
        <v>2443</v>
      </c>
    </row>
    <row r="722" spans="1:9">
      <c r="A722" s="3" t="s">
        <v>34</v>
      </c>
      <c r="B722" s="3" t="s">
        <v>2178</v>
      </c>
      <c r="C722" s="3" t="s">
        <v>2157</v>
      </c>
      <c r="D722" s="3" t="s">
        <v>2444</v>
      </c>
      <c r="E722" s="3" t="s">
        <v>2445</v>
      </c>
      <c r="F722" s="3" t="s">
        <v>38</v>
      </c>
      <c r="G722" s="3" t="s">
        <v>2446</v>
      </c>
      <c r="H722" s="3" t="s">
        <v>323</v>
      </c>
      <c r="I722" s="3" t="s">
        <v>2447</v>
      </c>
    </row>
    <row r="723" spans="1:9">
      <c r="A723" s="3" t="s">
        <v>34</v>
      </c>
      <c r="B723" s="3" t="s">
        <v>2448</v>
      </c>
      <c r="C723" s="3" t="s">
        <v>2157</v>
      </c>
      <c r="D723" s="3" t="s">
        <v>2449</v>
      </c>
      <c r="E723" s="3" t="s">
        <v>2450</v>
      </c>
      <c r="F723" s="3" t="s">
        <v>38</v>
      </c>
      <c r="G723" s="3" t="s">
        <v>2451</v>
      </c>
      <c r="H723" s="3" t="s">
        <v>323</v>
      </c>
      <c r="I723" s="3" t="s">
        <v>2452</v>
      </c>
    </row>
    <row r="724" spans="1:9">
      <c r="A724" s="3" t="s">
        <v>34</v>
      </c>
      <c r="B724" s="3" t="s">
        <v>2448</v>
      </c>
      <c r="C724" s="3" t="s">
        <v>2157</v>
      </c>
      <c r="D724" s="3" t="s">
        <v>681</v>
      </c>
      <c r="E724" s="3" t="s">
        <v>2453</v>
      </c>
      <c r="F724" s="3" t="s">
        <v>38</v>
      </c>
      <c r="G724" s="3" t="s">
        <v>2451</v>
      </c>
      <c r="H724" s="3" t="s">
        <v>323</v>
      </c>
      <c r="I724" s="3" t="s">
        <v>2454</v>
      </c>
    </row>
    <row r="725" spans="1:9">
      <c r="A725" s="3" t="s">
        <v>34</v>
      </c>
      <c r="B725" s="3" t="s">
        <v>90</v>
      </c>
      <c r="C725" s="3" t="s">
        <v>2157</v>
      </c>
      <c r="D725" s="3" t="s">
        <v>2057</v>
      </c>
      <c r="E725" s="3" t="s">
        <v>2455</v>
      </c>
      <c r="F725" s="3" t="s">
        <v>217</v>
      </c>
      <c r="G725" s="3" t="s">
        <v>2456</v>
      </c>
      <c r="H725" s="3" t="s">
        <v>16</v>
      </c>
      <c r="I725" s="3" t="s">
        <v>2457</v>
      </c>
    </row>
    <row r="726" spans="1:9">
      <c r="A726" s="3" t="s">
        <v>34</v>
      </c>
      <c r="B726" s="3" t="s">
        <v>90</v>
      </c>
      <c r="C726" s="3" t="s">
        <v>2157</v>
      </c>
      <c r="D726" s="3" t="s">
        <v>41</v>
      </c>
      <c r="E726" s="3" t="s">
        <v>2458</v>
      </c>
      <c r="F726" s="3" t="s">
        <v>217</v>
      </c>
      <c r="G726" s="3" t="s">
        <v>2459</v>
      </c>
      <c r="H726" s="3" t="s">
        <v>16</v>
      </c>
      <c r="I726" s="3" t="s">
        <v>2460</v>
      </c>
    </row>
    <row r="727" spans="1:9">
      <c r="A727" s="3" t="s">
        <v>34</v>
      </c>
      <c r="B727" s="3" t="s">
        <v>90</v>
      </c>
      <c r="C727" s="3" t="s">
        <v>2157</v>
      </c>
      <c r="D727" s="3" t="s">
        <v>2461</v>
      </c>
      <c r="E727" s="3" t="s">
        <v>2462</v>
      </c>
      <c r="F727" s="3" t="s">
        <v>217</v>
      </c>
      <c r="G727" s="3" t="s">
        <v>2463</v>
      </c>
      <c r="H727" s="3" t="s">
        <v>16</v>
      </c>
      <c r="I727" s="3" t="s">
        <v>2464</v>
      </c>
    </row>
    <row r="728" spans="1:9">
      <c r="A728" s="3" t="s">
        <v>34</v>
      </c>
      <c r="B728" s="3" t="s">
        <v>2448</v>
      </c>
      <c r="C728" s="3" t="s">
        <v>2157</v>
      </c>
      <c r="D728" s="3" t="s">
        <v>2465</v>
      </c>
      <c r="E728" s="3" t="s">
        <v>1777</v>
      </c>
      <c r="F728" s="3" t="s">
        <v>38</v>
      </c>
      <c r="G728" s="3" t="s">
        <v>2466</v>
      </c>
      <c r="H728" s="3" t="s">
        <v>16</v>
      </c>
      <c r="I728" s="3" t="s">
        <v>2467</v>
      </c>
    </row>
    <row r="729" spans="1:9">
      <c r="A729" s="3" t="s">
        <v>34</v>
      </c>
      <c r="B729" s="3" t="s">
        <v>2448</v>
      </c>
      <c r="C729" s="3" t="s">
        <v>2157</v>
      </c>
      <c r="D729" s="3" t="s">
        <v>128</v>
      </c>
      <c r="E729" s="3" t="s">
        <v>2468</v>
      </c>
      <c r="F729" s="3" t="s">
        <v>38</v>
      </c>
      <c r="G729" s="3" t="s">
        <v>2469</v>
      </c>
      <c r="H729" s="3" t="s">
        <v>16</v>
      </c>
      <c r="I729" s="3" t="s">
        <v>2470</v>
      </c>
    </row>
    <row r="730" spans="1:9">
      <c r="A730" s="3" t="s">
        <v>34</v>
      </c>
      <c r="B730" s="3" t="s">
        <v>2448</v>
      </c>
      <c r="C730" s="3" t="s">
        <v>2157</v>
      </c>
      <c r="D730" s="3" t="s">
        <v>165</v>
      </c>
      <c r="E730" s="3" t="s">
        <v>2471</v>
      </c>
      <c r="F730" s="3" t="s">
        <v>38</v>
      </c>
      <c r="G730" s="3" t="s">
        <v>2472</v>
      </c>
      <c r="H730" s="3" t="s">
        <v>16</v>
      </c>
      <c r="I730" s="3" t="s">
        <v>2473</v>
      </c>
    </row>
    <row r="731" spans="1:9">
      <c r="A731" s="3" t="s">
        <v>34</v>
      </c>
      <c r="B731" s="3" t="s">
        <v>2448</v>
      </c>
      <c r="C731" s="3" t="s">
        <v>2157</v>
      </c>
      <c r="D731" s="3" t="s">
        <v>2474</v>
      </c>
      <c r="E731" s="3" t="s">
        <v>2475</v>
      </c>
      <c r="F731" s="3" t="s">
        <v>38</v>
      </c>
      <c r="G731" s="3" t="s">
        <v>15</v>
      </c>
      <c r="H731" s="3" t="s">
        <v>16</v>
      </c>
      <c r="I731" s="3" t="s">
        <v>2476</v>
      </c>
    </row>
    <row r="732" spans="1:9">
      <c r="A732" s="3" t="s">
        <v>34</v>
      </c>
      <c r="B732" s="3" t="s">
        <v>2448</v>
      </c>
      <c r="C732" s="3" t="s">
        <v>2157</v>
      </c>
      <c r="D732" s="3" t="s">
        <v>336</v>
      </c>
      <c r="E732" s="3" t="s">
        <v>346</v>
      </c>
      <c r="F732" s="3" t="s">
        <v>38</v>
      </c>
      <c r="G732" s="3" t="s">
        <v>2477</v>
      </c>
      <c r="H732" s="3" t="s">
        <v>16</v>
      </c>
      <c r="I732" s="3" t="s">
        <v>2478</v>
      </c>
    </row>
    <row r="733" spans="1:9">
      <c r="A733" s="3" t="s">
        <v>34</v>
      </c>
      <c r="B733" s="3" t="s">
        <v>2448</v>
      </c>
      <c r="C733" s="3" t="s">
        <v>2157</v>
      </c>
      <c r="D733" s="3" t="s">
        <v>2109</v>
      </c>
      <c r="E733" s="3" t="s">
        <v>2479</v>
      </c>
      <c r="F733" s="3" t="s">
        <v>38</v>
      </c>
      <c r="G733" s="3" t="s">
        <v>2480</v>
      </c>
      <c r="H733" s="3" t="s">
        <v>16</v>
      </c>
      <c r="I733" s="3" t="s">
        <v>2481</v>
      </c>
    </row>
    <row r="734" spans="1:9">
      <c r="A734" s="3" t="s">
        <v>34</v>
      </c>
      <c r="B734" s="3" t="s">
        <v>2448</v>
      </c>
      <c r="C734" s="3" t="s">
        <v>2157</v>
      </c>
      <c r="D734" s="3" t="s">
        <v>1276</v>
      </c>
      <c r="E734" s="3" t="s">
        <v>2482</v>
      </c>
      <c r="F734" s="3" t="s">
        <v>38</v>
      </c>
      <c r="G734" s="3" t="s">
        <v>2483</v>
      </c>
      <c r="H734" s="3" t="s">
        <v>16</v>
      </c>
      <c r="I734" s="3" t="s">
        <v>2484</v>
      </c>
    </row>
    <row r="735" spans="1:9">
      <c r="A735" s="3" t="s">
        <v>34</v>
      </c>
      <c r="B735" s="3" t="s">
        <v>2448</v>
      </c>
      <c r="C735" s="3" t="s">
        <v>2157</v>
      </c>
      <c r="D735" s="3" t="s">
        <v>751</v>
      </c>
      <c r="E735" s="3" t="s">
        <v>2485</v>
      </c>
      <c r="F735" s="3" t="s">
        <v>38</v>
      </c>
      <c r="G735" s="3" t="s">
        <v>97</v>
      </c>
      <c r="H735" s="3" t="s">
        <v>16</v>
      </c>
      <c r="I735" s="3" t="s">
        <v>2486</v>
      </c>
    </row>
    <row r="736" spans="1:9">
      <c r="A736" s="3" t="s">
        <v>34</v>
      </c>
      <c r="B736" s="3" t="s">
        <v>2448</v>
      </c>
      <c r="C736" s="3" t="s">
        <v>2157</v>
      </c>
      <c r="D736" s="3" t="s">
        <v>358</v>
      </c>
      <c r="E736" s="3" t="s">
        <v>2487</v>
      </c>
      <c r="F736" s="3" t="s">
        <v>38</v>
      </c>
      <c r="G736" s="3" t="s">
        <v>97</v>
      </c>
      <c r="H736" s="3" t="s">
        <v>16</v>
      </c>
      <c r="I736" s="3" t="s">
        <v>2488</v>
      </c>
    </row>
    <row r="737" spans="1:9">
      <c r="A737" s="3" t="s">
        <v>34</v>
      </c>
      <c r="B737" s="3" t="s">
        <v>2448</v>
      </c>
      <c r="C737" s="3" t="s">
        <v>2157</v>
      </c>
      <c r="D737" s="3" t="s">
        <v>509</v>
      </c>
      <c r="E737" s="3" t="s">
        <v>2489</v>
      </c>
      <c r="F737" s="3" t="s">
        <v>38</v>
      </c>
      <c r="G737" s="3" t="s">
        <v>15</v>
      </c>
      <c r="H737" s="3" t="s">
        <v>16</v>
      </c>
      <c r="I737" s="3" t="s">
        <v>2490</v>
      </c>
    </row>
    <row r="738" spans="1:9">
      <c r="A738" s="3" t="s">
        <v>34</v>
      </c>
      <c r="B738" s="3" t="s">
        <v>2448</v>
      </c>
      <c r="C738" s="3" t="s">
        <v>2157</v>
      </c>
      <c r="D738" s="3" t="s">
        <v>2491</v>
      </c>
      <c r="E738" s="3" t="s">
        <v>2492</v>
      </c>
      <c r="F738" s="3" t="s">
        <v>38</v>
      </c>
      <c r="G738" s="3" t="s">
        <v>2493</v>
      </c>
      <c r="H738" s="3" t="s">
        <v>16</v>
      </c>
      <c r="I738" s="3" t="s">
        <v>2494</v>
      </c>
    </row>
    <row r="739" spans="1:9">
      <c r="A739" s="3" t="s">
        <v>34</v>
      </c>
      <c r="B739" s="3" t="s">
        <v>2448</v>
      </c>
      <c r="C739" s="3" t="s">
        <v>2157</v>
      </c>
      <c r="D739" s="3" t="s">
        <v>2495</v>
      </c>
      <c r="E739" s="3" t="s">
        <v>2425</v>
      </c>
      <c r="F739" s="3" t="s">
        <v>38</v>
      </c>
      <c r="G739" s="3" t="s">
        <v>1881</v>
      </c>
      <c r="H739" s="3" t="s">
        <v>16</v>
      </c>
      <c r="I739" s="3" t="s">
        <v>2496</v>
      </c>
    </row>
    <row r="740" spans="1:9">
      <c r="A740" s="3" t="s">
        <v>34</v>
      </c>
      <c r="B740" s="3" t="s">
        <v>2173</v>
      </c>
      <c r="C740" s="3" t="s">
        <v>2157</v>
      </c>
      <c r="D740" s="3" t="s">
        <v>239</v>
      </c>
      <c r="E740" s="3" t="s">
        <v>2507</v>
      </c>
      <c r="F740" s="3" t="s">
        <v>38</v>
      </c>
      <c r="G740" s="3" t="s">
        <v>2508</v>
      </c>
      <c r="H740" s="3" t="s">
        <v>16</v>
      </c>
      <c r="I740" s="3" t="s">
        <v>2509</v>
      </c>
    </row>
    <row r="741" spans="1:9">
      <c r="A741" s="3" t="s">
        <v>34</v>
      </c>
      <c r="B741" s="3" t="s">
        <v>2173</v>
      </c>
      <c r="C741" s="3" t="s">
        <v>2157</v>
      </c>
      <c r="D741" s="3" t="s">
        <v>2510</v>
      </c>
      <c r="E741" s="3" t="s">
        <v>2511</v>
      </c>
      <c r="F741" s="3" t="s">
        <v>38</v>
      </c>
      <c r="G741" s="3" t="s">
        <v>2512</v>
      </c>
      <c r="H741" s="3" t="s">
        <v>16</v>
      </c>
      <c r="I741" s="3" t="s">
        <v>2513</v>
      </c>
    </row>
    <row r="742" spans="1:9">
      <c r="A742" s="3" t="s">
        <v>34</v>
      </c>
      <c r="B742" s="3" t="s">
        <v>2248</v>
      </c>
      <c r="C742" s="3" t="s">
        <v>2157</v>
      </c>
      <c r="D742" s="3" t="s">
        <v>2514</v>
      </c>
      <c r="E742" s="3" t="s">
        <v>2515</v>
      </c>
      <c r="F742" s="3" t="s">
        <v>38</v>
      </c>
      <c r="G742" s="3" t="s">
        <v>819</v>
      </c>
      <c r="H742" s="3" t="s">
        <v>16</v>
      </c>
      <c r="I742" s="3" t="s">
        <v>2516</v>
      </c>
    </row>
    <row r="743" spans="1:9">
      <c r="A743" s="3" t="s">
        <v>34</v>
      </c>
      <c r="B743" s="3" t="s">
        <v>90</v>
      </c>
      <c r="C743" s="3" t="s">
        <v>2157</v>
      </c>
      <c r="D743" s="3" t="s">
        <v>1708</v>
      </c>
      <c r="E743" s="3" t="s">
        <v>2517</v>
      </c>
      <c r="F743" s="3" t="s">
        <v>217</v>
      </c>
      <c r="G743" s="3" t="s">
        <v>2518</v>
      </c>
      <c r="H743" s="3" t="s">
        <v>16</v>
      </c>
      <c r="I743" s="3" t="s">
        <v>2519</v>
      </c>
    </row>
    <row r="744" spans="1:9">
      <c r="A744" s="3" t="s">
        <v>34</v>
      </c>
      <c r="B744" s="3" t="s">
        <v>2218</v>
      </c>
      <c r="C744" s="3" t="s">
        <v>2157</v>
      </c>
      <c r="D744" s="3" t="s">
        <v>1768</v>
      </c>
      <c r="E744" s="3" t="s">
        <v>2520</v>
      </c>
      <c r="F744" s="3" t="s">
        <v>217</v>
      </c>
      <c r="G744" s="3" t="s">
        <v>1435</v>
      </c>
      <c r="H744" s="3" t="s">
        <v>16</v>
      </c>
      <c r="I744" s="3" t="s">
        <v>2521</v>
      </c>
    </row>
    <row r="745" spans="1:9">
      <c r="A745" s="3" t="s">
        <v>34</v>
      </c>
      <c r="B745" s="3" t="s">
        <v>2265</v>
      </c>
      <c r="C745" s="3" t="s">
        <v>2157</v>
      </c>
      <c r="D745" s="3" t="s">
        <v>1708</v>
      </c>
      <c r="E745" s="3" t="s">
        <v>2522</v>
      </c>
      <c r="F745" s="3" t="s">
        <v>217</v>
      </c>
      <c r="G745" s="3" t="s">
        <v>2523</v>
      </c>
      <c r="H745" s="3" t="s">
        <v>16</v>
      </c>
      <c r="I745" s="3" t="s">
        <v>2524</v>
      </c>
    </row>
    <row r="746" spans="1:9">
      <c r="A746" s="3" t="s">
        <v>34</v>
      </c>
      <c r="B746" s="3" t="s">
        <v>2256</v>
      </c>
      <c r="C746" s="3" t="s">
        <v>2157</v>
      </c>
      <c r="D746" s="3" t="s">
        <v>228</v>
      </c>
      <c r="E746" s="3" t="s">
        <v>2525</v>
      </c>
      <c r="F746" s="3" t="s">
        <v>217</v>
      </c>
      <c r="G746" s="3" t="s">
        <v>1313</v>
      </c>
      <c r="H746" s="3" t="s">
        <v>16</v>
      </c>
      <c r="I746" s="3" t="s">
        <v>2526</v>
      </c>
    </row>
    <row r="747" spans="1:9">
      <c r="A747" s="3" t="s">
        <v>34</v>
      </c>
      <c r="B747" s="3" t="s">
        <v>2178</v>
      </c>
      <c r="C747" s="3" t="s">
        <v>2157</v>
      </c>
      <c r="D747" s="3" t="s">
        <v>2109</v>
      </c>
      <c r="E747" s="3" t="s">
        <v>129</v>
      </c>
      <c r="F747" s="3" t="s">
        <v>38</v>
      </c>
      <c r="G747" s="3" t="s">
        <v>1278</v>
      </c>
      <c r="H747" s="3" t="s">
        <v>16</v>
      </c>
      <c r="I747" s="3" t="s">
        <v>2527</v>
      </c>
    </row>
    <row r="748" spans="1:9">
      <c r="A748" s="3" t="s">
        <v>34</v>
      </c>
      <c r="B748" s="3" t="s">
        <v>2315</v>
      </c>
      <c r="C748" s="3" t="s">
        <v>2157</v>
      </c>
      <c r="D748" s="3" t="s">
        <v>45</v>
      </c>
      <c r="E748" s="3" t="s">
        <v>1988</v>
      </c>
      <c r="F748" s="3" t="s">
        <v>217</v>
      </c>
      <c r="G748" s="3" t="s">
        <v>2528</v>
      </c>
      <c r="H748" s="3" t="s">
        <v>16</v>
      </c>
      <c r="I748" s="3" t="s">
        <v>2529</v>
      </c>
    </row>
    <row r="749" spans="1:9">
      <c r="A749" s="3" t="s">
        <v>34</v>
      </c>
      <c r="B749" s="3" t="s">
        <v>90</v>
      </c>
      <c r="C749" s="3" t="s">
        <v>2157</v>
      </c>
      <c r="D749" s="3" t="s">
        <v>595</v>
      </c>
      <c r="E749" s="3" t="s">
        <v>2538</v>
      </c>
      <c r="F749" s="3" t="s">
        <v>217</v>
      </c>
      <c r="G749" s="3" t="s">
        <v>2539</v>
      </c>
      <c r="H749" s="3" t="s">
        <v>16</v>
      </c>
      <c r="I749" s="3" t="s">
        <v>2540</v>
      </c>
    </row>
    <row r="750" spans="1:9">
      <c r="A750" s="3" t="s">
        <v>34</v>
      </c>
      <c r="B750" s="3" t="s">
        <v>90</v>
      </c>
      <c r="C750" s="3" t="s">
        <v>2157</v>
      </c>
      <c r="D750" s="3" t="s">
        <v>2541</v>
      </c>
      <c r="E750" s="3" t="s">
        <v>108</v>
      </c>
      <c r="F750" s="3" t="s">
        <v>38</v>
      </c>
      <c r="G750" s="3" t="s">
        <v>2542</v>
      </c>
      <c r="H750" s="3" t="s">
        <v>16</v>
      </c>
      <c r="I750" s="3" t="s">
        <v>2543</v>
      </c>
    </row>
    <row r="751" spans="1:9">
      <c r="A751" s="3" t="s">
        <v>34</v>
      </c>
      <c r="B751" s="3" t="s">
        <v>2338</v>
      </c>
      <c r="C751" s="3" t="s">
        <v>2157</v>
      </c>
      <c r="D751" s="3" t="s">
        <v>1470</v>
      </c>
      <c r="E751" s="3" t="s">
        <v>2544</v>
      </c>
      <c r="F751" s="3" t="s">
        <v>38</v>
      </c>
      <c r="G751" s="3"/>
      <c r="H751" s="3" t="s">
        <v>16</v>
      </c>
      <c r="I751" s="3" t="s">
        <v>2545</v>
      </c>
    </row>
    <row r="752" spans="1:9">
      <c r="A752" s="3" t="s">
        <v>34</v>
      </c>
      <c r="B752" s="3" t="s">
        <v>191</v>
      </c>
      <c r="C752" s="3" t="s">
        <v>2547</v>
      </c>
      <c r="D752" s="3" t="s">
        <v>286</v>
      </c>
      <c r="E752" s="3" t="s">
        <v>128</v>
      </c>
      <c r="F752" s="3" t="s">
        <v>217</v>
      </c>
      <c r="G752" s="3" t="s">
        <v>2637</v>
      </c>
      <c r="H752" s="3" t="s">
        <v>323</v>
      </c>
      <c r="I752" s="3" t="s">
        <v>2638</v>
      </c>
    </row>
    <row r="753" spans="1:9">
      <c r="A753" s="3" t="s">
        <v>34</v>
      </c>
      <c r="B753" s="3" t="s">
        <v>3042</v>
      </c>
      <c r="C753" s="3" t="s">
        <v>2547</v>
      </c>
      <c r="D753" s="3" t="s">
        <v>439</v>
      </c>
      <c r="E753" s="3" t="s">
        <v>439</v>
      </c>
      <c r="F753" s="3" t="s">
        <v>38</v>
      </c>
      <c r="G753" s="3" t="s">
        <v>439</v>
      </c>
      <c r="H753" s="3" t="s">
        <v>16</v>
      </c>
      <c r="I753" s="3" t="s">
        <v>3043</v>
      </c>
    </row>
    <row r="754" spans="1:9">
      <c r="A754" s="3" t="s">
        <v>34</v>
      </c>
      <c r="B754" s="3" t="s">
        <v>3044</v>
      </c>
      <c r="C754" s="3" t="s">
        <v>2547</v>
      </c>
      <c r="D754" s="3" t="s">
        <v>321</v>
      </c>
      <c r="E754" s="3" t="s">
        <v>3045</v>
      </c>
      <c r="F754" s="3" t="s">
        <v>38</v>
      </c>
      <c r="G754" s="3" t="s">
        <v>3046</v>
      </c>
      <c r="H754" s="3" t="s">
        <v>323</v>
      </c>
      <c r="I754" s="3" t="s">
        <v>3047</v>
      </c>
    </row>
    <row r="755" spans="1:9">
      <c r="A755" s="3" t="s">
        <v>34</v>
      </c>
      <c r="B755" s="3" t="s">
        <v>191</v>
      </c>
      <c r="C755" s="3" t="s">
        <v>2547</v>
      </c>
      <c r="D755" s="3" t="s">
        <v>3048</v>
      </c>
      <c r="E755" s="3" t="s">
        <v>3049</v>
      </c>
      <c r="F755" s="3" t="s">
        <v>217</v>
      </c>
      <c r="G755" s="3" t="s">
        <v>3050</v>
      </c>
      <c r="H755" s="3" t="s">
        <v>323</v>
      </c>
      <c r="I755" s="3" t="s">
        <v>3051</v>
      </c>
    </row>
    <row r="756" spans="1:9">
      <c r="A756" s="3" t="s">
        <v>34</v>
      </c>
      <c r="B756" s="3" t="s">
        <v>3153</v>
      </c>
      <c r="C756" s="3" t="s">
        <v>2547</v>
      </c>
      <c r="D756" s="3" t="s">
        <v>3154</v>
      </c>
      <c r="E756" s="3" t="s">
        <v>3155</v>
      </c>
      <c r="F756" s="3" t="s">
        <v>217</v>
      </c>
      <c r="G756" s="3" t="s">
        <v>3156</v>
      </c>
      <c r="H756" s="3" t="s">
        <v>16</v>
      </c>
      <c r="I756" s="3" t="s">
        <v>3157</v>
      </c>
    </row>
    <row r="757" spans="1:9">
      <c r="A757" s="3" t="s">
        <v>34</v>
      </c>
      <c r="B757" s="3" t="s">
        <v>3158</v>
      </c>
      <c r="C757" s="3" t="s">
        <v>2547</v>
      </c>
      <c r="D757" s="3" t="s">
        <v>3159</v>
      </c>
      <c r="E757" s="3" t="s">
        <v>3160</v>
      </c>
      <c r="F757" s="3" t="s">
        <v>217</v>
      </c>
      <c r="G757" s="3" t="s">
        <v>3161</v>
      </c>
      <c r="H757" s="3" t="s">
        <v>16</v>
      </c>
      <c r="I757" s="3" t="s">
        <v>3162</v>
      </c>
    </row>
    <row r="758" spans="1:9">
      <c r="A758" s="3" t="s">
        <v>34</v>
      </c>
      <c r="B758" s="3" t="s">
        <v>191</v>
      </c>
      <c r="C758" s="3" t="s">
        <v>2547</v>
      </c>
      <c r="D758" s="3" t="s">
        <v>1713</v>
      </c>
      <c r="E758" s="3" t="s">
        <v>3175</v>
      </c>
      <c r="F758" s="3" t="s">
        <v>217</v>
      </c>
      <c r="G758" s="3" t="s">
        <v>3176</v>
      </c>
      <c r="H758" s="3" t="s">
        <v>16</v>
      </c>
      <c r="I758" s="3" t="s">
        <v>3177</v>
      </c>
    </row>
    <row r="759" spans="1:9">
      <c r="A759" s="3" t="s">
        <v>34</v>
      </c>
      <c r="B759" s="3" t="s">
        <v>300</v>
      </c>
      <c r="C759" s="3" t="s">
        <v>2547</v>
      </c>
      <c r="D759" s="3" t="s">
        <v>239</v>
      </c>
      <c r="E759" s="3" t="s">
        <v>3296</v>
      </c>
      <c r="F759" s="3" t="s">
        <v>217</v>
      </c>
      <c r="G759" s="3" t="s">
        <v>3297</v>
      </c>
      <c r="H759" s="3" t="s">
        <v>16</v>
      </c>
      <c r="I759" s="3" t="s">
        <v>3298</v>
      </c>
    </row>
    <row r="760" spans="1:9">
      <c r="A760" s="3" t="s">
        <v>34</v>
      </c>
      <c r="B760" s="3" t="s">
        <v>300</v>
      </c>
      <c r="C760" s="3" t="s">
        <v>2547</v>
      </c>
      <c r="D760" s="3" t="s">
        <v>857</v>
      </c>
      <c r="E760" s="3" t="s">
        <v>3299</v>
      </c>
      <c r="F760" s="3" t="s">
        <v>217</v>
      </c>
      <c r="G760" s="3" t="s">
        <v>620</v>
      </c>
      <c r="H760" s="3" t="s">
        <v>16</v>
      </c>
      <c r="I760" s="3" t="s">
        <v>3300</v>
      </c>
    </row>
    <row r="761" spans="1:9">
      <c r="A761" s="3" t="s">
        <v>34</v>
      </c>
      <c r="B761" s="3" t="s">
        <v>300</v>
      </c>
      <c r="C761" s="3" t="s">
        <v>2547</v>
      </c>
      <c r="D761" s="3" t="s">
        <v>36</v>
      </c>
      <c r="E761" s="3" t="s">
        <v>3301</v>
      </c>
      <c r="F761" s="3" t="s">
        <v>217</v>
      </c>
      <c r="G761" s="3" t="s">
        <v>3302</v>
      </c>
      <c r="H761" s="3" t="s">
        <v>16</v>
      </c>
      <c r="I761" s="3" t="s">
        <v>3303</v>
      </c>
    </row>
    <row r="762" spans="1:9">
      <c r="A762" s="3" t="s">
        <v>34</v>
      </c>
      <c r="B762" s="3" t="s">
        <v>300</v>
      </c>
      <c r="C762" s="3" t="s">
        <v>2547</v>
      </c>
      <c r="D762" s="3" t="s">
        <v>313</v>
      </c>
      <c r="E762" s="3" t="s">
        <v>3304</v>
      </c>
      <c r="F762" s="3" t="s">
        <v>217</v>
      </c>
      <c r="G762" s="3" t="s">
        <v>385</v>
      </c>
      <c r="H762" s="3" t="s">
        <v>16</v>
      </c>
      <c r="I762" s="3" t="s">
        <v>3305</v>
      </c>
    </row>
    <row r="763" spans="1:9">
      <c r="A763" s="3" t="s">
        <v>34</v>
      </c>
      <c r="B763" s="3" t="s">
        <v>300</v>
      </c>
      <c r="C763" s="3" t="s">
        <v>2547</v>
      </c>
      <c r="D763" s="3" t="s">
        <v>228</v>
      </c>
      <c r="E763" s="3" t="s">
        <v>3306</v>
      </c>
      <c r="F763" s="3" t="s">
        <v>217</v>
      </c>
      <c r="G763" s="3" t="s">
        <v>3307</v>
      </c>
      <c r="H763" s="3" t="s">
        <v>16</v>
      </c>
      <c r="I763" s="3" t="s">
        <v>3308</v>
      </c>
    </row>
    <row r="764" spans="1:9">
      <c r="A764" s="3" t="s">
        <v>34</v>
      </c>
      <c r="B764" s="3" t="s">
        <v>300</v>
      </c>
      <c r="C764" s="3" t="s">
        <v>2547</v>
      </c>
      <c r="D764" s="3" t="s">
        <v>3309</v>
      </c>
      <c r="E764" s="3" t="s">
        <v>3310</v>
      </c>
      <c r="F764" s="3" t="s">
        <v>217</v>
      </c>
      <c r="G764" s="3" t="s">
        <v>3311</v>
      </c>
      <c r="H764" s="3" t="s">
        <v>16</v>
      </c>
      <c r="I764" s="3" t="s">
        <v>3312</v>
      </c>
    </row>
    <row r="765" spans="1:9">
      <c r="A765" s="3" t="s">
        <v>34</v>
      </c>
      <c r="B765" s="3" t="s">
        <v>300</v>
      </c>
      <c r="C765" s="3" t="s">
        <v>2547</v>
      </c>
      <c r="D765" s="3" t="s">
        <v>3313</v>
      </c>
      <c r="E765" s="3" t="s">
        <v>1401</v>
      </c>
      <c r="F765" s="3" t="s">
        <v>217</v>
      </c>
      <c r="G765" s="3" t="s">
        <v>93</v>
      </c>
      <c r="H765" s="3" t="s">
        <v>16</v>
      </c>
      <c r="I765" s="3" t="s">
        <v>3314</v>
      </c>
    </row>
    <row r="766" spans="1:9">
      <c r="A766" s="3" t="s">
        <v>34</v>
      </c>
      <c r="B766" s="3" t="s">
        <v>300</v>
      </c>
      <c r="C766" s="3" t="s">
        <v>2547</v>
      </c>
      <c r="D766" s="3" t="s">
        <v>328</v>
      </c>
      <c r="E766" s="3" t="s">
        <v>1917</v>
      </c>
      <c r="F766" s="3" t="s">
        <v>217</v>
      </c>
      <c r="G766" s="3" t="s">
        <v>3315</v>
      </c>
      <c r="H766" s="3" t="s">
        <v>16</v>
      </c>
      <c r="I766" s="3" t="s">
        <v>3316</v>
      </c>
    </row>
    <row r="767" spans="1:9">
      <c r="A767" s="3" t="s">
        <v>34</v>
      </c>
      <c r="B767" s="3" t="s">
        <v>300</v>
      </c>
      <c r="C767" s="3" t="s">
        <v>2547</v>
      </c>
      <c r="D767" s="3" t="s">
        <v>567</v>
      </c>
      <c r="E767" s="3" t="s">
        <v>3317</v>
      </c>
      <c r="F767" s="3" t="s">
        <v>217</v>
      </c>
      <c r="G767" s="3" t="s">
        <v>3318</v>
      </c>
      <c r="H767" s="3" t="s">
        <v>16</v>
      </c>
      <c r="I767" s="3" t="s">
        <v>3319</v>
      </c>
    </row>
    <row r="768" spans="1:9">
      <c r="A768" s="3" t="s">
        <v>34</v>
      </c>
      <c r="B768" s="3" t="s">
        <v>300</v>
      </c>
      <c r="C768" s="3" t="s">
        <v>2547</v>
      </c>
      <c r="D768" s="3" t="s">
        <v>1276</v>
      </c>
      <c r="E768" s="3" t="s">
        <v>3320</v>
      </c>
      <c r="F768" s="3" t="s">
        <v>217</v>
      </c>
      <c r="G768" s="3" t="s">
        <v>3321</v>
      </c>
      <c r="H768" s="3" t="s">
        <v>16</v>
      </c>
      <c r="I768" s="3" t="s">
        <v>3322</v>
      </c>
    </row>
    <row r="769" spans="1:9">
      <c r="A769" s="3" t="s">
        <v>34</v>
      </c>
      <c r="B769" s="3" t="s">
        <v>300</v>
      </c>
      <c r="C769" s="3" t="s">
        <v>2547</v>
      </c>
      <c r="D769" s="3" t="s">
        <v>1014</v>
      </c>
      <c r="E769" s="3" t="s">
        <v>3323</v>
      </c>
      <c r="F769" s="3" t="s">
        <v>217</v>
      </c>
      <c r="G769" s="3" t="s">
        <v>3324</v>
      </c>
      <c r="H769" s="3" t="s">
        <v>16</v>
      </c>
      <c r="I769" s="3" t="s">
        <v>3325</v>
      </c>
    </row>
    <row r="770" spans="1:9">
      <c r="A770" s="3" t="s">
        <v>34</v>
      </c>
      <c r="B770" s="3" t="s">
        <v>191</v>
      </c>
      <c r="C770" s="3" t="s">
        <v>2547</v>
      </c>
      <c r="D770" s="3" t="s">
        <v>41</v>
      </c>
      <c r="E770" s="3" t="s">
        <v>3326</v>
      </c>
      <c r="F770" s="3" t="s">
        <v>217</v>
      </c>
      <c r="G770" s="3" t="s">
        <v>3279</v>
      </c>
      <c r="H770" s="3" t="s">
        <v>16</v>
      </c>
      <c r="I770" s="3" t="s">
        <v>3327</v>
      </c>
    </row>
    <row r="771" spans="1:9">
      <c r="A771" s="3" t="s">
        <v>34</v>
      </c>
      <c r="B771" s="3" t="s">
        <v>3369</v>
      </c>
      <c r="C771" s="3" t="s">
        <v>2547</v>
      </c>
      <c r="D771" s="3" t="s">
        <v>3370</v>
      </c>
      <c r="E771" s="3" t="s">
        <v>3371</v>
      </c>
      <c r="F771" s="3" t="s">
        <v>38</v>
      </c>
      <c r="G771" s="3" t="s">
        <v>620</v>
      </c>
      <c r="H771" s="3" t="s">
        <v>323</v>
      </c>
      <c r="I771" s="3" t="s">
        <v>3372</v>
      </c>
    </row>
    <row r="772" spans="1:9">
      <c r="A772" s="3" t="s">
        <v>34</v>
      </c>
      <c r="B772" s="3" t="s">
        <v>300</v>
      </c>
      <c r="C772" s="3" t="s">
        <v>2547</v>
      </c>
      <c r="D772" s="3" t="s">
        <v>165</v>
      </c>
      <c r="E772" s="3" t="s">
        <v>1736</v>
      </c>
      <c r="F772" s="3" t="s">
        <v>38</v>
      </c>
      <c r="G772" s="3" t="s">
        <v>1181</v>
      </c>
      <c r="H772" s="3" t="s">
        <v>16</v>
      </c>
      <c r="I772" s="3" t="s">
        <v>3401</v>
      </c>
    </row>
    <row r="773" spans="1:9">
      <c r="A773" s="3" t="s">
        <v>34</v>
      </c>
      <c r="B773" s="3" t="s">
        <v>3417</v>
      </c>
      <c r="C773" s="3" t="s">
        <v>2547</v>
      </c>
      <c r="D773" s="3" t="s">
        <v>257</v>
      </c>
      <c r="E773" s="3" t="s">
        <v>3418</v>
      </c>
      <c r="F773" s="3" t="s">
        <v>38</v>
      </c>
      <c r="G773" s="3" t="s">
        <v>3419</v>
      </c>
      <c r="H773" s="3" t="s">
        <v>16</v>
      </c>
      <c r="I773" s="3" t="s">
        <v>3420</v>
      </c>
    </row>
    <row r="774" spans="1:9">
      <c r="A774" s="3" t="s">
        <v>34</v>
      </c>
      <c r="B774" s="3" t="s">
        <v>3044</v>
      </c>
      <c r="C774" s="3" t="s">
        <v>2547</v>
      </c>
      <c r="D774" s="3" t="s">
        <v>41</v>
      </c>
      <c r="E774" s="3" t="s">
        <v>1866</v>
      </c>
      <c r="F774" s="3" t="s">
        <v>38</v>
      </c>
      <c r="G774" s="3" t="s">
        <v>3421</v>
      </c>
      <c r="H774" s="3" t="s">
        <v>16</v>
      </c>
      <c r="I774" s="3" t="s">
        <v>3422</v>
      </c>
    </row>
    <row r="775" spans="1:9">
      <c r="A775" s="3" t="s">
        <v>34</v>
      </c>
      <c r="B775" s="3" t="s">
        <v>3369</v>
      </c>
      <c r="C775" s="3" t="s">
        <v>2547</v>
      </c>
      <c r="D775" s="3" t="s">
        <v>3035</v>
      </c>
      <c r="E775" s="3" t="s">
        <v>626</v>
      </c>
      <c r="F775" s="3" t="s">
        <v>38</v>
      </c>
      <c r="G775" s="3" t="s">
        <v>427</v>
      </c>
      <c r="H775" s="3" t="s">
        <v>16</v>
      </c>
      <c r="I775" s="3" t="s">
        <v>3425</v>
      </c>
    </row>
    <row r="776" spans="1:9">
      <c r="A776" s="3" t="s">
        <v>34</v>
      </c>
      <c r="B776" s="3" t="s">
        <v>3429</v>
      </c>
      <c r="C776" s="3" t="s">
        <v>2547</v>
      </c>
      <c r="D776" s="3" t="s">
        <v>348</v>
      </c>
      <c r="E776" s="3" t="s">
        <v>2296</v>
      </c>
      <c r="F776" s="3" t="s">
        <v>38</v>
      </c>
      <c r="G776" s="3" t="s">
        <v>3430</v>
      </c>
      <c r="H776" s="3" t="s">
        <v>16</v>
      </c>
      <c r="I776" s="3" t="s">
        <v>3431</v>
      </c>
    </row>
    <row r="777" spans="1:9">
      <c r="A777" s="3" t="s">
        <v>34</v>
      </c>
      <c r="B777" s="3" t="s">
        <v>3471</v>
      </c>
      <c r="C777" s="3" t="s">
        <v>2547</v>
      </c>
      <c r="D777" s="3" t="s">
        <v>1228</v>
      </c>
      <c r="E777" s="3" t="s">
        <v>1144</v>
      </c>
      <c r="F777" s="3" t="s">
        <v>38</v>
      </c>
      <c r="G777" s="3" t="s">
        <v>3472</v>
      </c>
      <c r="H777" s="3" t="s">
        <v>16</v>
      </c>
      <c r="I777" s="3" t="s">
        <v>3473</v>
      </c>
    </row>
    <row r="778" spans="1:9">
      <c r="A778" s="3" t="s">
        <v>34</v>
      </c>
      <c r="B778" s="3" t="s">
        <v>3471</v>
      </c>
      <c r="C778" s="3" t="s">
        <v>2547</v>
      </c>
      <c r="D778" s="3" t="s">
        <v>3474</v>
      </c>
      <c r="E778" s="3" t="s">
        <v>1407</v>
      </c>
      <c r="F778" s="3" t="s">
        <v>38</v>
      </c>
      <c r="G778" s="3" t="s">
        <v>3475</v>
      </c>
      <c r="H778" s="3" t="s">
        <v>16</v>
      </c>
      <c r="I778" s="3" t="s">
        <v>3476</v>
      </c>
    </row>
    <row r="779" spans="1:9">
      <c r="A779" s="3" t="s">
        <v>34</v>
      </c>
      <c r="B779" s="3" t="s">
        <v>3471</v>
      </c>
      <c r="C779" s="3" t="s">
        <v>2547</v>
      </c>
      <c r="D779" s="3" t="s">
        <v>3477</v>
      </c>
      <c r="E779" s="3" t="s">
        <v>866</v>
      </c>
      <c r="F779" s="3" t="s">
        <v>38</v>
      </c>
      <c r="G779" s="3" t="s">
        <v>3478</v>
      </c>
      <c r="H779" s="3" t="s">
        <v>16</v>
      </c>
      <c r="I779" s="3" t="s">
        <v>3479</v>
      </c>
    </row>
    <row r="780" spans="1:9">
      <c r="A780" s="3" t="s">
        <v>34</v>
      </c>
      <c r="B780" s="3" t="s">
        <v>3471</v>
      </c>
      <c r="C780" s="3" t="s">
        <v>2547</v>
      </c>
      <c r="D780" s="3" t="s">
        <v>316</v>
      </c>
      <c r="E780" s="3" t="s">
        <v>3480</v>
      </c>
      <c r="F780" s="3" t="s">
        <v>38</v>
      </c>
      <c r="G780" s="3" t="s">
        <v>3481</v>
      </c>
      <c r="H780" s="3" t="s">
        <v>16</v>
      </c>
      <c r="I780" s="3" t="s">
        <v>3482</v>
      </c>
    </row>
    <row r="781" spans="1:9">
      <c r="A781" s="3" t="s">
        <v>34</v>
      </c>
      <c r="B781" s="3" t="s">
        <v>3471</v>
      </c>
      <c r="C781" s="3" t="s">
        <v>2547</v>
      </c>
      <c r="D781" s="3" t="s">
        <v>3483</v>
      </c>
      <c r="E781" s="3" t="s">
        <v>3484</v>
      </c>
      <c r="F781" s="3" t="s">
        <v>38</v>
      </c>
      <c r="G781" s="3" t="s">
        <v>3485</v>
      </c>
      <c r="H781" s="3" t="s">
        <v>16</v>
      </c>
      <c r="I781" s="3" t="s">
        <v>3486</v>
      </c>
    </row>
    <row r="782" spans="1:9">
      <c r="A782" s="3" t="s">
        <v>34</v>
      </c>
      <c r="B782" s="3" t="s">
        <v>3471</v>
      </c>
      <c r="C782" s="3" t="s">
        <v>2547</v>
      </c>
      <c r="D782" s="3" t="s">
        <v>239</v>
      </c>
      <c r="E782" s="3" t="s">
        <v>3487</v>
      </c>
      <c r="F782" s="3" t="s">
        <v>38</v>
      </c>
      <c r="G782" s="3" t="s">
        <v>3488</v>
      </c>
      <c r="H782" s="3" t="s">
        <v>16</v>
      </c>
      <c r="I782" s="3" t="s">
        <v>3489</v>
      </c>
    </row>
    <row r="783" spans="1:9">
      <c r="A783" s="3" t="s">
        <v>34</v>
      </c>
      <c r="B783" s="3" t="s">
        <v>3471</v>
      </c>
      <c r="C783" s="3" t="s">
        <v>2547</v>
      </c>
      <c r="D783" s="3" t="s">
        <v>95</v>
      </c>
      <c r="E783" s="3" t="s">
        <v>3490</v>
      </c>
      <c r="F783" s="3" t="s">
        <v>38</v>
      </c>
      <c r="G783" s="3" t="s">
        <v>3491</v>
      </c>
      <c r="H783" s="3" t="s">
        <v>16</v>
      </c>
      <c r="I783" s="3" t="s">
        <v>3492</v>
      </c>
    </row>
    <row r="784" spans="1:9">
      <c r="A784" s="3" t="s">
        <v>34</v>
      </c>
      <c r="B784" s="3" t="s">
        <v>3471</v>
      </c>
      <c r="C784" s="3" t="s">
        <v>2547</v>
      </c>
      <c r="D784" s="3" t="s">
        <v>447</v>
      </c>
      <c r="E784" s="3" t="s">
        <v>3493</v>
      </c>
      <c r="F784" s="3" t="s">
        <v>38</v>
      </c>
      <c r="G784" s="3" t="s">
        <v>3494</v>
      </c>
      <c r="H784" s="3" t="s">
        <v>16</v>
      </c>
      <c r="I784" s="3" t="s">
        <v>3495</v>
      </c>
    </row>
    <row r="785" spans="1:9">
      <c r="A785" s="3" t="s">
        <v>34</v>
      </c>
      <c r="B785" s="3" t="s">
        <v>191</v>
      </c>
      <c r="C785" s="3" t="s">
        <v>2547</v>
      </c>
      <c r="D785" s="3" t="s">
        <v>173</v>
      </c>
      <c r="E785" s="3" t="s">
        <v>1958</v>
      </c>
      <c r="F785" s="3" t="s">
        <v>38</v>
      </c>
      <c r="G785" s="3" t="s">
        <v>3496</v>
      </c>
      <c r="H785" s="3" t="s">
        <v>16</v>
      </c>
      <c r="I785" s="3" t="s">
        <v>3497</v>
      </c>
    </row>
    <row r="786" spans="1:9">
      <c r="A786" s="3" t="s">
        <v>34</v>
      </c>
      <c r="B786" s="3" t="s">
        <v>191</v>
      </c>
      <c r="C786" s="3" t="s">
        <v>2547</v>
      </c>
      <c r="D786" s="3" t="s">
        <v>1276</v>
      </c>
      <c r="E786" s="3" t="s">
        <v>3498</v>
      </c>
      <c r="F786" s="3" t="s">
        <v>38</v>
      </c>
      <c r="G786" s="3" t="s">
        <v>3499</v>
      </c>
      <c r="H786" s="3" t="s">
        <v>16</v>
      </c>
      <c r="I786" s="3" t="s">
        <v>3500</v>
      </c>
    </row>
    <row r="787" spans="1:9">
      <c r="A787" s="3" t="s">
        <v>34</v>
      </c>
      <c r="B787" s="3" t="s">
        <v>191</v>
      </c>
      <c r="C787" s="3" t="s">
        <v>2547</v>
      </c>
      <c r="D787" s="3" t="s">
        <v>142</v>
      </c>
      <c r="E787" s="3" t="s">
        <v>128</v>
      </c>
      <c r="F787" s="3" t="s">
        <v>38</v>
      </c>
      <c r="G787" s="3" t="s">
        <v>3501</v>
      </c>
      <c r="H787" s="3" t="s">
        <v>16</v>
      </c>
      <c r="I787" s="3" t="s">
        <v>3502</v>
      </c>
    </row>
    <row r="788" spans="1:9">
      <c r="A788" s="3" t="s">
        <v>34</v>
      </c>
      <c r="B788" s="3" t="s">
        <v>191</v>
      </c>
      <c r="C788" s="3" t="s">
        <v>2547</v>
      </c>
      <c r="D788" s="3" t="s">
        <v>1311</v>
      </c>
      <c r="E788" s="3" t="s">
        <v>990</v>
      </c>
      <c r="F788" s="3" t="s">
        <v>38</v>
      </c>
      <c r="G788" s="3" t="s">
        <v>3503</v>
      </c>
      <c r="H788" s="3" t="s">
        <v>16</v>
      </c>
      <c r="I788" s="3" t="s">
        <v>3504</v>
      </c>
    </row>
    <row r="789" spans="1:9">
      <c r="A789" s="3" t="s">
        <v>34</v>
      </c>
      <c r="B789" s="3" t="s">
        <v>3512</v>
      </c>
      <c r="C789" s="3" t="s">
        <v>3513</v>
      </c>
      <c r="D789" s="3" t="s">
        <v>1154</v>
      </c>
      <c r="E789" s="3" t="s">
        <v>1369</v>
      </c>
      <c r="F789" s="3" t="s">
        <v>38</v>
      </c>
      <c r="G789" s="3" t="s">
        <v>3514</v>
      </c>
      <c r="H789" s="3" t="s">
        <v>16</v>
      </c>
      <c r="I789" s="3" t="s">
        <v>3515</v>
      </c>
    </row>
    <row r="790" spans="1:9">
      <c r="A790" s="3" t="s">
        <v>34</v>
      </c>
      <c r="B790" s="3" t="s">
        <v>3516</v>
      </c>
      <c r="C790" s="3" t="s">
        <v>3513</v>
      </c>
      <c r="D790" s="3" t="s">
        <v>45</v>
      </c>
      <c r="E790" s="3" t="s">
        <v>3517</v>
      </c>
      <c r="F790" s="3" t="s">
        <v>38</v>
      </c>
      <c r="G790" s="3" t="s">
        <v>3518</v>
      </c>
      <c r="H790" s="3" t="s">
        <v>3519</v>
      </c>
      <c r="I790" s="3" t="s">
        <v>3520</v>
      </c>
    </row>
    <row r="791" spans="1:9">
      <c r="A791" s="3" t="s">
        <v>34</v>
      </c>
      <c r="B791" s="3" t="s">
        <v>3512</v>
      </c>
      <c r="C791" s="3" t="s">
        <v>3513</v>
      </c>
      <c r="D791" s="3" t="s">
        <v>3521</v>
      </c>
      <c r="E791" s="3" t="s">
        <v>3522</v>
      </c>
      <c r="F791" s="3" t="s">
        <v>38</v>
      </c>
      <c r="G791" s="3"/>
      <c r="H791" s="3" t="s">
        <v>3519</v>
      </c>
      <c r="I791" s="3" t="s">
        <v>3523</v>
      </c>
    </row>
    <row r="792" spans="1:9">
      <c r="A792" s="3" t="s">
        <v>34</v>
      </c>
      <c r="B792" s="3" t="s">
        <v>3553</v>
      </c>
      <c r="C792" s="3" t="s">
        <v>3529</v>
      </c>
      <c r="D792" s="3" t="s">
        <v>2887</v>
      </c>
      <c r="E792" s="3" t="s">
        <v>2621</v>
      </c>
      <c r="F792" s="3" t="s">
        <v>217</v>
      </c>
      <c r="G792" s="3" t="s">
        <v>3554</v>
      </c>
      <c r="H792" s="3" t="s">
        <v>323</v>
      </c>
      <c r="I792" s="3" t="s">
        <v>3555</v>
      </c>
    </row>
    <row r="793" spans="1:9">
      <c r="A793" s="3" t="s">
        <v>34</v>
      </c>
      <c r="B793" s="3" t="s">
        <v>3556</v>
      </c>
      <c r="C793" s="3" t="s">
        <v>3529</v>
      </c>
      <c r="D793" s="3" t="s">
        <v>732</v>
      </c>
      <c r="E793" s="3" t="s">
        <v>1144</v>
      </c>
      <c r="F793" s="3" t="s">
        <v>217</v>
      </c>
      <c r="G793" s="3" t="s">
        <v>3557</v>
      </c>
      <c r="H793" s="3" t="s">
        <v>323</v>
      </c>
      <c r="I793" s="3" t="s">
        <v>3558</v>
      </c>
    </row>
    <row r="794" spans="1:9">
      <c r="A794" s="3" t="s">
        <v>34</v>
      </c>
      <c r="B794" s="3" t="s">
        <v>3580</v>
      </c>
      <c r="C794" s="3" t="s">
        <v>3529</v>
      </c>
      <c r="D794" s="3" t="s">
        <v>3581</v>
      </c>
      <c r="E794" s="3" t="s">
        <v>3582</v>
      </c>
      <c r="F794" s="3" t="s">
        <v>38</v>
      </c>
      <c r="G794" s="3" t="s">
        <v>439</v>
      </c>
      <c r="H794" s="3" t="s">
        <v>323</v>
      </c>
      <c r="I794" s="3" t="s">
        <v>3583</v>
      </c>
    </row>
    <row r="795" spans="1:9">
      <c r="A795" s="3" t="s">
        <v>34</v>
      </c>
      <c r="B795" s="3" t="s">
        <v>261</v>
      </c>
      <c r="C795" s="3" t="s">
        <v>3529</v>
      </c>
      <c r="D795" s="3" t="s">
        <v>1276</v>
      </c>
      <c r="E795" s="3" t="s">
        <v>3246</v>
      </c>
      <c r="F795" s="3" t="s">
        <v>217</v>
      </c>
      <c r="G795" s="3" t="s">
        <v>3584</v>
      </c>
      <c r="H795" s="3" t="s">
        <v>16</v>
      </c>
      <c r="I795" s="3" t="s">
        <v>3585</v>
      </c>
    </row>
    <row r="796" spans="1:9">
      <c r="A796" s="3" t="s">
        <v>34</v>
      </c>
      <c r="B796" s="3" t="s">
        <v>3586</v>
      </c>
      <c r="C796" s="3" t="s">
        <v>3529</v>
      </c>
      <c r="D796" s="3" t="s">
        <v>110</v>
      </c>
      <c r="E796" s="3" t="s">
        <v>3587</v>
      </c>
      <c r="F796" s="3" t="s">
        <v>217</v>
      </c>
      <c r="G796" s="3" t="s">
        <v>3588</v>
      </c>
      <c r="H796" s="3" t="s">
        <v>323</v>
      </c>
      <c r="I796" s="3" t="s">
        <v>3589</v>
      </c>
    </row>
    <row r="797" spans="1:9">
      <c r="A797" s="3" t="s">
        <v>34</v>
      </c>
      <c r="B797" s="3" t="s">
        <v>3590</v>
      </c>
      <c r="C797" s="3" t="s">
        <v>3529</v>
      </c>
      <c r="D797" s="3" t="s">
        <v>116</v>
      </c>
      <c r="E797" s="3" t="s">
        <v>3591</v>
      </c>
      <c r="F797" s="3" t="s">
        <v>217</v>
      </c>
      <c r="G797" s="3" t="s">
        <v>1185</v>
      </c>
      <c r="H797" s="3" t="s">
        <v>16</v>
      </c>
      <c r="I797" s="3" t="s">
        <v>3592</v>
      </c>
    </row>
    <row r="798" spans="1:9">
      <c r="A798" s="3" t="s">
        <v>34</v>
      </c>
      <c r="B798" s="3" t="s">
        <v>3618</v>
      </c>
      <c r="C798" s="3" t="s">
        <v>3529</v>
      </c>
      <c r="D798" s="3" t="s">
        <v>358</v>
      </c>
      <c r="E798" s="3" t="s">
        <v>3619</v>
      </c>
      <c r="F798" s="3" t="s">
        <v>38</v>
      </c>
      <c r="G798" s="3" t="s">
        <v>3620</v>
      </c>
      <c r="H798" s="3" t="s">
        <v>16</v>
      </c>
      <c r="I798" s="3" t="s">
        <v>3621</v>
      </c>
    </row>
    <row r="799" spans="1:9">
      <c r="A799" s="3" t="s">
        <v>617</v>
      </c>
      <c r="B799" s="3" t="s">
        <v>618</v>
      </c>
      <c r="C799" s="3" t="s">
        <v>320</v>
      </c>
      <c r="D799" s="3"/>
      <c r="E799" s="3" t="s">
        <v>619</v>
      </c>
      <c r="F799" s="3" t="s">
        <v>14</v>
      </c>
      <c r="G799" s="3" t="s">
        <v>620</v>
      </c>
      <c r="H799" s="3" t="s">
        <v>16</v>
      </c>
      <c r="I799" s="3" t="s">
        <v>621</v>
      </c>
    </row>
    <row r="800" spans="1:9">
      <c r="A800" s="3" t="s">
        <v>617</v>
      </c>
      <c r="B800" s="3" t="s">
        <v>922</v>
      </c>
      <c r="C800" s="3" t="s">
        <v>900</v>
      </c>
      <c r="D800" s="3" t="s">
        <v>923</v>
      </c>
      <c r="E800" s="3" t="s">
        <v>924</v>
      </c>
      <c r="F800" s="3" t="s">
        <v>38</v>
      </c>
      <c r="G800" s="3" t="s">
        <v>925</v>
      </c>
      <c r="H800" s="3" t="s">
        <v>323</v>
      </c>
      <c r="I800" s="3" t="s">
        <v>926</v>
      </c>
    </row>
    <row r="801" spans="1:9">
      <c r="A801" s="3" t="s">
        <v>617</v>
      </c>
      <c r="B801" s="3" t="s">
        <v>961</v>
      </c>
      <c r="C801" s="3" t="s">
        <v>900</v>
      </c>
      <c r="D801" s="3" t="s">
        <v>962</v>
      </c>
      <c r="E801" s="3" t="s">
        <v>963</v>
      </c>
      <c r="F801" s="3" t="s">
        <v>38</v>
      </c>
      <c r="G801" s="3" t="s">
        <v>964</v>
      </c>
      <c r="H801" s="3" t="s">
        <v>323</v>
      </c>
      <c r="I801" s="3" t="s">
        <v>965</v>
      </c>
    </row>
    <row r="802" spans="1:9">
      <c r="A802" s="3" t="s">
        <v>617</v>
      </c>
      <c r="B802" s="3" t="s">
        <v>966</v>
      </c>
      <c r="C802" s="3" t="s">
        <v>900</v>
      </c>
      <c r="D802" s="3" t="s">
        <v>595</v>
      </c>
      <c r="E802" s="3" t="s">
        <v>967</v>
      </c>
      <c r="F802" s="3" t="s">
        <v>38</v>
      </c>
      <c r="G802" s="3" t="s">
        <v>968</v>
      </c>
      <c r="H802" s="3" t="s">
        <v>323</v>
      </c>
      <c r="I802" s="3" t="s">
        <v>969</v>
      </c>
    </row>
    <row r="803" spans="1:9">
      <c r="A803" s="3" t="s">
        <v>617</v>
      </c>
      <c r="B803" s="3" t="s">
        <v>988</v>
      </c>
      <c r="C803" s="3" t="s">
        <v>900</v>
      </c>
      <c r="D803" s="3" t="s">
        <v>989</v>
      </c>
      <c r="E803" s="3" t="s">
        <v>990</v>
      </c>
      <c r="F803" s="3" t="s">
        <v>38</v>
      </c>
      <c r="G803" s="3" t="s">
        <v>433</v>
      </c>
      <c r="H803" s="3" t="s">
        <v>323</v>
      </c>
      <c r="I803" s="3" t="s">
        <v>991</v>
      </c>
    </row>
    <row r="804" spans="1:9">
      <c r="A804" s="3" t="s">
        <v>617</v>
      </c>
      <c r="B804" s="3" t="s">
        <v>1025</v>
      </c>
      <c r="C804" s="3" t="s">
        <v>900</v>
      </c>
      <c r="D804" s="3" t="s">
        <v>173</v>
      </c>
      <c r="E804" s="3" t="s">
        <v>1026</v>
      </c>
      <c r="F804" s="3" t="s">
        <v>38</v>
      </c>
      <c r="G804" s="3" t="s">
        <v>1027</v>
      </c>
      <c r="H804" s="3" t="s">
        <v>16</v>
      </c>
      <c r="I804" s="3" t="s">
        <v>1028</v>
      </c>
    </row>
    <row r="805" spans="1:9">
      <c r="A805" s="3" t="s">
        <v>617</v>
      </c>
      <c r="B805" s="3" t="s">
        <v>1042</v>
      </c>
      <c r="C805" s="3" t="s">
        <v>900</v>
      </c>
      <c r="D805" s="3" t="s">
        <v>852</v>
      </c>
      <c r="E805" s="3" t="s">
        <v>1043</v>
      </c>
      <c r="F805" s="3" t="s">
        <v>38</v>
      </c>
      <c r="G805" s="3" t="s">
        <v>1044</v>
      </c>
      <c r="H805" s="3" t="s">
        <v>323</v>
      </c>
      <c r="I805" s="3" t="s">
        <v>1045</v>
      </c>
    </row>
    <row r="806" spans="1:9">
      <c r="A806" s="3" t="s">
        <v>617</v>
      </c>
      <c r="B806" s="3" t="s">
        <v>1046</v>
      </c>
      <c r="C806" s="3" t="s">
        <v>900</v>
      </c>
      <c r="D806" s="3" t="s">
        <v>348</v>
      </c>
      <c r="E806" s="3" t="s">
        <v>1047</v>
      </c>
      <c r="F806" s="3" t="s">
        <v>38</v>
      </c>
      <c r="G806" s="3" t="s">
        <v>1048</v>
      </c>
      <c r="H806" s="3" t="s">
        <v>16</v>
      </c>
      <c r="I806" s="3" t="s">
        <v>1049</v>
      </c>
    </row>
    <row r="807" spans="1:9">
      <c r="A807" s="3" t="s">
        <v>617</v>
      </c>
      <c r="B807" s="3" t="s">
        <v>1050</v>
      </c>
      <c r="C807" s="3" t="s">
        <v>900</v>
      </c>
      <c r="D807" s="3" t="s">
        <v>169</v>
      </c>
      <c r="E807" s="3" t="s">
        <v>137</v>
      </c>
      <c r="F807" s="3" t="s">
        <v>38</v>
      </c>
      <c r="G807" s="3" t="s">
        <v>1051</v>
      </c>
      <c r="H807" s="3" t="s">
        <v>16</v>
      </c>
      <c r="I807" s="3" t="s">
        <v>1052</v>
      </c>
    </row>
    <row r="808" spans="1:9">
      <c r="A808" s="3" t="s">
        <v>617</v>
      </c>
      <c r="B808" s="3" t="s">
        <v>988</v>
      </c>
      <c r="C808" s="3" t="s">
        <v>900</v>
      </c>
      <c r="D808" s="3" t="s">
        <v>12</v>
      </c>
      <c r="E808" s="3" t="s">
        <v>1063</v>
      </c>
      <c r="F808" s="3" t="s">
        <v>217</v>
      </c>
      <c r="G808" s="3" t="s">
        <v>1064</v>
      </c>
      <c r="H808" s="3" t="s">
        <v>323</v>
      </c>
      <c r="I808" s="3" t="s">
        <v>1065</v>
      </c>
    </row>
    <row r="809" spans="1:9">
      <c r="A809" s="3" t="s">
        <v>617</v>
      </c>
      <c r="B809" s="3" t="s">
        <v>1066</v>
      </c>
      <c r="C809" s="3" t="s">
        <v>900</v>
      </c>
      <c r="D809" s="3" t="s">
        <v>1067</v>
      </c>
      <c r="E809" s="3" t="s">
        <v>1068</v>
      </c>
      <c r="F809" s="3" t="s">
        <v>38</v>
      </c>
      <c r="G809" s="3" t="s">
        <v>1069</v>
      </c>
      <c r="H809" s="3" t="s">
        <v>16</v>
      </c>
      <c r="I809" s="3" t="s">
        <v>1070</v>
      </c>
    </row>
    <row r="810" spans="1:9">
      <c r="A810" s="3" t="s">
        <v>617</v>
      </c>
      <c r="B810" s="3" t="s">
        <v>1071</v>
      </c>
      <c r="C810" s="3" t="s">
        <v>900</v>
      </c>
      <c r="D810" s="3" t="s">
        <v>45</v>
      </c>
      <c r="E810" s="3" t="s">
        <v>1072</v>
      </c>
      <c r="F810" s="3" t="s">
        <v>38</v>
      </c>
      <c r="G810" s="3" t="s">
        <v>472</v>
      </c>
      <c r="H810" s="3" t="s">
        <v>16</v>
      </c>
      <c r="I810" s="3" t="s">
        <v>1073</v>
      </c>
    </row>
    <row r="811" spans="1:9">
      <c r="A811" s="3" t="s">
        <v>617</v>
      </c>
      <c r="B811" s="3" t="s">
        <v>961</v>
      </c>
      <c r="C811" s="3" t="s">
        <v>900</v>
      </c>
      <c r="D811" s="3" t="s">
        <v>1088</v>
      </c>
      <c r="E811" s="3" t="s">
        <v>1089</v>
      </c>
      <c r="F811" s="3" t="s">
        <v>38</v>
      </c>
      <c r="G811" s="3" t="s">
        <v>472</v>
      </c>
      <c r="H811" s="3" t="s">
        <v>16</v>
      </c>
      <c r="I811" s="3" t="s">
        <v>1090</v>
      </c>
    </row>
    <row r="812" spans="1:9">
      <c r="A812" s="3" t="s">
        <v>617</v>
      </c>
      <c r="B812" s="3" t="s">
        <v>1095</v>
      </c>
      <c r="C812" s="3" t="s">
        <v>900</v>
      </c>
      <c r="D812" s="3" t="s">
        <v>439</v>
      </c>
      <c r="E812" s="3" t="s">
        <v>439</v>
      </c>
      <c r="F812" s="3" t="s">
        <v>38</v>
      </c>
      <c r="G812" s="3" t="s">
        <v>439</v>
      </c>
      <c r="H812" s="3" t="s">
        <v>16</v>
      </c>
      <c r="I812" s="3" t="s">
        <v>1096</v>
      </c>
    </row>
    <row r="813" spans="1:9">
      <c r="A813" s="3" t="s">
        <v>617</v>
      </c>
      <c r="B813" s="3" t="s">
        <v>1102</v>
      </c>
      <c r="C813" s="3" t="s">
        <v>900</v>
      </c>
      <c r="D813" s="3" t="s">
        <v>1103</v>
      </c>
      <c r="E813" s="3" t="s">
        <v>1104</v>
      </c>
      <c r="F813" s="3" t="s">
        <v>38</v>
      </c>
      <c r="G813" s="3" t="s">
        <v>1105</v>
      </c>
      <c r="H813" s="3" t="s">
        <v>16</v>
      </c>
      <c r="I813" s="3" t="s">
        <v>1106</v>
      </c>
    </row>
    <row r="814" spans="1:9">
      <c r="A814" s="3" t="s">
        <v>617</v>
      </c>
      <c r="B814" s="3" t="s">
        <v>922</v>
      </c>
      <c r="C814" s="3" t="s">
        <v>900</v>
      </c>
      <c r="D814" s="3" t="s">
        <v>36</v>
      </c>
      <c r="E814" s="3" t="s">
        <v>1114</v>
      </c>
      <c r="F814" s="3" t="s">
        <v>38</v>
      </c>
      <c r="G814" s="3" t="s">
        <v>1115</v>
      </c>
      <c r="H814" s="3" t="s">
        <v>323</v>
      </c>
      <c r="I814" s="3" t="s">
        <v>1116</v>
      </c>
    </row>
    <row r="815" spans="1:9">
      <c r="A815" s="3" t="s">
        <v>617</v>
      </c>
      <c r="B815" s="3" t="s">
        <v>1117</v>
      </c>
      <c r="C815" s="3" t="s">
        <v>900</v>
      </c>
      <c r="D815" s="3" t="s">
        <v>1118</v>
      </c>
      <c r="E815" s="3" t="s">
        <v>1119</v>
      </c>
      <c r="F815" s="3" t="s">
        <v>38</v>
      </c>
      <c r="G815" s="3" t="s">
        <v>1120</v>
      </c>
      <c r="H815" s="3" t="s">
        <v>16</v>
      </c>
      <c r="I815" s="3" t="s">
        <v>1121</v>
      </c>
    </row>
    <row r="816" spans="1:9">
      <c r="A816" s="3" t="s">
        <v>617</v>
      </c>
      <c r="B816" s="3" t="s">
        <v>1126</v>
      </c>
      <c r="C816" s="3" t="s">
        <v>900</v>
      </c>
      <c r="D816" s="3" t="s">
        <v>173</v>
      </c>
      <c r="E816" s="3" t="s">
        <v>1127</v>
      </c>
      <c r="F816" s="3" t="s">
        <v>38</v>
      </c>
      <c r="G816" s="3" t="s">
        <v>1128</v>
      </c>
      <c r="H816" s="3" t="s">
        <v>16</v>
      </c>
      <c r="I816" s="3" t="s">
        <v>1129</v>
      </c>
    </row>
    <row r="817" spans="1:9">
      <c r="A817" s="3" t="s">
        <v>617</v>
      </c>
      <c r="B817" s="3" t="s">
        <v>1142</v>
      </c>
      <c r="C817" s="3" t="s">
        <v>900</v>
      </c>
      <c r="D817" s="3" t="s">
        <v>1143</v>
      </c>
      <c r="E817" s="3" t="s">
        <v>1144</v>
      </c>
      <c r="F817" s="3" t="s">
        <v>38</v>
      </c>
      <c r="G817" s="3" t="s">
        <v>1145</v>
      </c>
      <c r="H817" s="3" t="s">
        <v>323</v>
      </c>
      <c r="I817" s="3" t="s">
        <v>1146</v>
      </c>
    </row>
    <row r="818" spans="1:9">
      <c r="A818" s="3" t="s">
        <v>617</v>
      </c>
      <c r="B818" s="3" t="s">
        <v>1183</v>
      </c>
      <c r="C818" s="3" t="s">
        <v>900</v>
      </c>
      <c r="D818" s="3" t="s">
        <v>321</v>
      </c>
      <c r="E818" s="3" t="s">
        <v>1184</v>
      </c>
      <c r="F818" s="3" t="s">
        <v>38</v>
      </c>
      <c r="G818" s="3" t="s">
        <v>1185</v>
      </c>
      <c r="H818" s="3" t="s">
        <v>16</v>
      </c>
      <c r="I818" s="3" t="s">
        <v>1186</v>
      </c>
    </row>
    <row r="819" spans="1:9">
      <c r="A819" s="3" t="s">
        <v>617</v>
      </c>
      <c r="B819" s="3" t="s">
        <v>1259</v>
      </c>
      <c r="C819" s="3" t="s">
        <v>900</v>
      </c>
      <c r="D819" s="3" t="s">
        <v>1260</v>
      </c>
      <c r="E819" s="3" t="s">
        <v>1261</v>
      </c>
      <c r="F819" s="3" t="s">
        <v>217</v>
      </c>
      <c r="G819" s="3" t="s">
        <v>1262</v>
      </c>
      <c r="H819" s="3" t="s">
        <v>323</v>
      </c>
      <c r="I819" s="3" t="s">
        <v>1263</v>
      </c>
    </row>
    <row r="820" spans="1:9">
      <c r="A820" s="3" t="s">
        <v>617</v>
      </c>
      <c r="B820" s="3" t="s">
        <v>1264</v>
      </c>
      <c r="C820" s="3" t="s">
        <v>900</v>
      </c>
      <c r="D820" s="3" t="s">
        <v>1265</v>
      </c>
      <c r="E820" s="3" t="s">
        <v>1266</v>
      </c>
      <c r="F820" s="3" t="s">
        <v>38</v>
      </c>
      <c r="G820" s="3" t="s">
        <v>620</v>
      </c>
      <c r="H820" s="3" t="s">
        <v>16</v>
      </c>
      <c r="I820" s="3" t="s">
        <v>1267</v>
      </c>
    </row>
    <row r="821" spans="1:9">
      <c r="A821" s="3" t="s">
        <v>617</v>
      </c>
      <c r="B821" s="3" t="s">
        <v>1268</v>
      </c>
      <c r="C821" s="3" t="s">
        <v>900</v>
      </c>
      <c r="D821" s="3" t="s">
        <v>75</v>
      </c>
      <c r="E821" s="3" t="s">
        <v>1269</v>
      </c>
      <c r="F821" s="3" t="s">
        <v>217</v>
      </c>
      <c r="G821" s="3" t="s">
        <v>1270</v>
      </c>
      <c r="H821" s="3" t="s">
        <v>323</v>
      </c>
      <c r="I821" s="3" t="s">
        <v>1271</v>
      </c>
    </row>
    <row r="822" spans="1:9">
      <c r="A822" s="3" t="s">
        <v>617</v>
      </c>
      <c r="B822" s="3" t="s">
        <v>1259</v>
      </c>
      <c r="C822" s="3" t="s">
        <v>900</v>
      </c>
      <c r="D822" s="3" t="s">
        <v>1276</v>
      </c>
      <c r="E822" s="3" t="s">
        <v>1277</v>
      </c>
      <c r="F822" s="3" t="s">
        <v>38</v>
      </c>
      <c r="G822" s="3" t="s">
        <v>1278</v>
      </c>
      <c r="H822" s="3" t="s">
        <v>16</v>
      </c>
      <c r="I822" s="3" t="s">
        <v>1279</v>
      </c>
    </row>
    <row r="823" spans="1:9">
      <c r="A823" s="3" t="s">
        <v>617</v>
      </c>
      <c r="B823" s="3" t="s">
        <v>1259</v>
      </c>
      <c r="C823" s="3" t="s">
        <v>900</v>
      </c>
      <c r="D823" s="3" t="s">
        <v>1103</v>
      </c>
      <c r="E823" s="3" t="s">
        <v>1325</v>
      </c>
      <c r="F823" s="3" t="s">
        <v>38</v>
      </c>
      <c r="G823" s="3" t="s">
        <v>1326</v>
      </c>
      <c r="H823" s="3" t="s">
        <v>16</v>
      </c>
      <c r="I823" s="3" t="s">
        <v>1327</v>
      </c>
    </row>
    <row r="824" spans="1:9">
      <c r="A824" s="3" t="s">
        <v>617</v>
      </c>
      <c r="B824" s="3" t="s">
        <v>1259</v>
      </c>
      <c r="C824" s="3" t="s">
        <v>900</v>
      </c>
      <c r="D824" s="3" t="s">
        <v>1328</v>
      </c>
      <c r="E824" s="3" t="s">
        <v>1329</v>
      </c>
      <c r="F824" s="3" t="s">
        <v>38</v>
      </c>
      <c r="G824" s="3" t="s">
        <v>1330</v>
      </c>
      <c r="H824" s="3" t="s">
        <v>16</v>
      </c>
      <c r="I824" s="3" t="s">
        <v>1331</v>
      </c>
    </row>
    <row r="825" spans="1:9">
      <c r="A825" s="3" t="s">
        <v>617</v>
      </c>
      <c r="B825" s="3" t="s">
        <v>1259</v>
      </c>
      <c r="C825" s="3" t="s">
        <v>900</v>
      </c>
      <c r="D825" s="3" t="s">
        <v>313</v>
      </c>
      <c r="E825" s="3" t="s">
        <v>1332</v>
      </c>
      <c r="F825" s="3" t="s">
        <v>38</v>
      </c>
      <c r="G825" s="3" t="s">
        <v>433</v>
      </c>
      <c r="H825" s="3" t="s">
        <v>16</v>
      </c>
      <c r="I825" s="3" t="s">
        <v>1333</v>
      </c>
    </row>
    <row r="826" spans="1:9">
      <c r="A826" s="3" t="s">
        <v>617</v>
      </c>
      <c r="B826" s="3" t="s">
        <v>1142</v>
      </c>
      <c r="C826" s="3" t="s">
        <v>900</v>
      </c>
      <c r="D826" s="3" t="s">
        <v>1335</v>
      </c>
      <c r="E826" s="3" t="s">
        <v>1336</v>
      </c>
      <c r="F826" s="3" t="s">
        <v>38</v>
      </c>
      <c r="G826" s="3" t="s">
        <v>1337</v>
      </c>
      <c r="H826" s="3" t="s">
        <v>16</v>
      </c>
      <c r="I826" s="3" t="s">
        <v>1338</v>
      </c>
    </row>
    <row r="827" spans="1:9">
      <c r="A827" s="3" t="s">
        <v>617</v>
      </c>
      <c r="B827" s="3" t="s">
        <v>1046</v>
      </c>
      <c r="C827" s="3" t="s">
        <v>900</v>
      </c>
      <c r="D827" s="3" t="s">
        <v>425</v>
      </c>
      <c r="E827" s="3" t="s">
        <v>1351</v>
      </c>
      <c r="F827" s="3" t="s">
        <v>38</v>
      </c>
      <c r="G827" s="3" t="s">
        <v>1352</v>
      </c>
      <c r="H827" s="3" t="s">
        <v>16</v>
      </c>
      <c r="I827" s="3" t="s">
        <v>1353</v>
      </c>
    </row>
    <row r="828" spans="1:9">
      <c r="A828" s="3" t="s">
        <v>617</v>
      </c>
      <c r="B828" s="3" t="s">
        <v>1046</v>
      </c>
      <c r="C828" s="3" t="s">
        <v>900</v>
      </c>
      <c r="D828" s="3" t="s">
        <v>1311</v>
      </c>
      <c r="E828" s="3" t="s">
        <v>1354</v>
      </c>
      <c r="F828" s="3" t="s">
        <v>38</v>
      </c>
      <c r="G828" s="3" t="s">
        <v>1355</v>
      </c>
      <c r="H828" s="3" t="s">
        <v>16</v>
      </c>
      <c r="I828" s="3" t="s">
        <v>1356</v>
      </c>
    </row>
    <row r="829" spans="1:9">
      <c r="A829" s="3" t="s">
        <v>617</v>
      </c>
      <c r="B829" s="3" t="s">
        <v>1046</v>
      </c>
      <c r="C829" s="3" t="s">
        <v>900</v>
      </c>
      <c r="D829" s="3" t="s">
        <v>1357</v>
      </c>
      <c r="E829" s="3" t="s">
        <v>1358</v>
      </c>
      <c r="F829" s="3" t="s">
        <v>38</v>
      </c>
      <c r="G829" s="3" t="s">
        <v>1359</v>
      </c>
      <c r="H829" s="3" t="s">
        <v>16</v>
      </c>
      <c r="I829" s="3" t="s">
        <v>1360</v>
      </c>
    </row>
    <row r="830" spans="1:9">
      <c r="A830" s="3" t="s">
        <v>617</v>
      </c>
      <c r="B830" s="3" t="s">
        <v>1046</v>
      </c>
      <c r="C830" s="3" t="s">
        <v>900</v>
      </c>
      <c r="D830" s="3" t="s">
        <v>1361</v>
      </c>
      <c r="E830" s="3" t="s">
        <v>1362</v>
      </c>
      <c r="F830" s="3" t="s">
        <v>38</v>
      </c>
      <c r="G830" s="3"/>
      <c r="H830" s="3" t="s">
        <v>16</v>
      </c>
      <c r="I830" s="3" t="s">
        <v>1363</v>
      </c>
    </row>
    <row r="831" spans="1:9">
      <c r="A831" s="3" t="s">
        <v>617</v>
      </c>
      <c r="B831" s="3" t="s">
        <v>1046</v>
      </c>
      <c r="C831" s="3" t="s">
        <v>900</v>
      </c>
      <c r="D831" s="3" t="s">
        <v>239</v>
      </c>
      <c r="E831" s="3" t="s">
        <v>1364</v>
      </c>
      <c r="F831" s="3" t="s">
        <v>38</v>
      </c>
      <c r="G831" s="3" t="s">
        <v>472</v>
      </c>
      <c r="H831" s="3" t="s">
        <v>16</v>
      </c>
      <c r="I831" s="3" t="s">
        <v>1365</v>
      </c>
    </row>
    <row r="832" spans="1:9">
      <c r="A832" s="3" t="s">
        <v>617</v>
      </c>
      <c r="B832" s="3" t="s">
        <v>1046</v>
      </c>
      <c r="C832" s="3" t="s">
        <v>900</v>
      </c>
      <c r="D832" s="3" t="s">
        <v>1366</v>
      </c>
      <c r="E832" s="3" t="s">
        <v>1232</v>
      </c>
      <c r="F832" s="3" t="s">
        <v>38</v>
      </c>
      <c r="G832" s="3"/>
      <c r="H832" s="3" t="s">
        <v>16</v>
      </c>
      <c r="I832" s="3" t="s">
        <v>1367</v>
      </c>
    </row>
    <row r="833" spans="1:9">
      <c r="A833" s="3" t="s">
        <v>617</v>
      </c>
      <c r="B833" s="3" t="s">
        <v>1046</v>
      </c>
      <c r="C833" s="3" t="s">
        <v>900</v>
      </c>
      <c r="D833" s="3" t="s">
        <v>1368</v>
      </c>
      <c r="E833" s="3" t="s">
        <v>1369</v>
      </c>
      <c r="F833" s="3" t="s">
        <v>38</v>
      </c>
      <c r="G833" s="3" t="s">
        <v>1370</v>
      </c>
      <c r="H833" s="3" t="s">
        <v>16</v>
      </c>
      <c r="I833" s="3" t="s">
        <v>1371</v>
      </c>
    </row>
    <row r="834" spans="1:9">
      <c r="A834" s="3" t="s">
        <v>617</v>
      </c>
      <c r="B834" s="3" t="s">
        <v>1268</v>
      </c>
      <c r="C834" s="3" t="s">
        <v>900</v>
      </c>
      <c r="D834" s="3" t="s">
        <v>984</v>
      </c>
      <c r="E834" s="3" t="s">
        <v>1372</v>
      </c>
      <c r="F834" s="3" t="s">
        <v>38</v>
      </c>
      <c r="G834" s="3" t="s">
        <v>1373</v>
      </c>
      <c r="H834" s="3" t="s">
        <v>16</v>
      </c>
      <c r="I834" s="3" t="s">
        <v>1374</v>
      </c>
    </row>
    <row r="835" spans="1:9">
      <c r="A835" s="3" t="s">
        <v>617</v>
      </c>
      <c r="B835" s="3" t="s">
        <v>1259</v>
      </c>
      <c r="C835" s="3" t="s">
        <v>900</v>
      </c>
      <c r="D835" s="3" t="s">
        <v>723</v>
      </c>
      <c r="E835" s="3" t="s">
        <v>1379</v>
      </c>
      <c r="F835" s="3" t="s">
        <v>38</v>
      </c>
      <c r="G835" s="3" t="s">
        <v>1380</v>
      </c>
      <c r="H835" s="3" t="s">
        <v>323</v>
      </c>
      <c r="I835" s="3" t="s">
        <v>1381</v>
      </c>
    </row>
    <row r="836" spans="1:9">
      <c r="A836" s="3" t="s">
        <v>617</v>
      </c>
      <c r="B836" s="3" t="s">
        <v>1259</v>
      </c>
      <c r="C836" s="3" t="s">
        <v>900</v>
      </c>
      <c r="D836" s="3" t="s">
        <v>1382</v>
      </c>
      <c r="E836" s="3" t="s">
        <v>1383</v>
      </c>
      <c r="F836" s="3" t="s">
        <v>38</v>
      </c>
      <c r="G836" s="3" t="s">
        <v>1384</v>
      </c>
      <c r="H836" s="3" t="s">
        <v>323</v>
      </c>
      <c r="I836" s="3" t="s">
        <v>1385</v>
      </c>
    </row>
    <row r="837" spans="1:9">
      <c r="A837" s="3" t="s">
        <v>617</v>
      </c>
      <c r="B837" s="3" t="s">
        <v>1386</v>
      </c>
      <c r="C837" s="3" t="s">
        <v>900</v>
      </c>
      <c r="D837" s="3" t="s">
        <v>1387</v>
      </c>
      <c r="E837" s="3" t="s">
        <v>1388</v>
      </c>
      <c r="F837" s="3" t="s">
        <v>38</v>
      </c>
      <c r="G837" s="3" t="s">
        <v>1389</v>
      </c>
      <c r="H837" s="3" t="s">
        <v>16</v>
      </c>
      <c r="I837" s="3" t="s">
        <v>1390</v>
      </c>
    </row>
    <row r="838" spans="1:9">
      <c r="A838" s="3" t="s">
        <v>617</v>
      </c>
      <c r="B838" s="3" t="s">
        <v>1386</v>
      </c>
      <c r="C838" s="3" t="s">
        <v>900</v>
      </c>
      <c r="D838" s="3" t="s">
        <v>1391</v>
      </c>
      <c r="E838" s="3" t="s">
        <v>1392</v>
      </c>
      <c r="F838" s="3" t="s">
        <v>38</v>
      </c>
      <c r="G838" s="3" t="s">
        <v>1393</v>
      </c>
      <c r="H838" s="3" t="s">
        <v>16</v>
      </c>
      <c r="I838" s="3" t="s">
        <v>1394</v>
      </c>
    </row>
    <row r="839" spans="1:9">
      <c r="A839" s="3" t="s">
        <v>617</v>
      </c>
      <c r="B839" s="3" t="s">
        <v>1183</v>
      </c>
      <c r="C839" s="3" t="s">
        <v>900</v>
      </c>
      <c r="D839" s="3" t="s">
        <v>228</v>
      </c>
      <c r="E839" s="3" t="s">
        <v>1395</v>
      </c>
      <c r="F839" s="3" t="s">
        <v>38</v>
      </c>
      <c r="G839" s="3" t="s">
        <v>1396</v>
      </c>
      <c r="H839" s="3" t="s">
        <v>16</v>
      </c>
      <c r="I839" s="3" t="s">
        <v>1397</v>
      </c>
    </row>
    <row r="840" spans="1:9">
      <c r="A840" s="3" t="s">
        <v>617</v>
      </c>
      <c r="B840" s="3" t="s">
        <v>1183</v>
      </c>
      <c r="C840" s="3" t="s">
        <v>900</v>
      </c>
      <c r="D840" s="3" t="s">
        <v>228</v>
      </c>
      <c r="E840" s="3" t="s">
        <v>1144</v>
      </c>
      <c r="F840" s="3" t="s">
        <v>38</v>
      </c>
      <c r="G840" s="3" t="s">
        <v>1398</v>
      </c>
      <c r="H840" s="3" t="s">
        <v>16</v>
      </c>
      <c r="I840" s="3" t="s">
        <v>1399</v>
      </c>
    </row>
    <row r="841" spans="1:9">
      <c r="A841" s="3" t="s">
        <v>617</v>
      </c>
      <c r="B841" s="3" t="s">
        <v>1464</v>
      </c>
      <c r="C841" s="3" t="s">
        <v>900</v>
      </c>
      <c r="D841" s="3" t="s">
        <v>420</v>
      </c>
      <c r="E841" s="3" t="s">
        <v>1465</v>
      </c>
      <c r="F841" s="3" t="s">
        <v>38</v>
      </c>
      <c r="G841" s="3" t="s">
        <v>1466</v>
      </c>
      <c r="H841" s="3" t="s">
        <v>16</v>
      </c>
      <c r="I841" s="3" t="s">
        <v>1467</v>
      </c>
    </row>
    <row r="842" spans="1:9">
      <c r="A842" s="3" t="s">
        <v>617</v>
      </c>
      <c r="B842" s="3" t="s">
        <v>1550</v>
      </c>
      <c r="C842" s="3" t="s">
        <v>900</v>
      </c>
      <c r="D842" s="3" t="s">
        <v>447</v>
      </c>
      <c r="E842" s="3" t="s">
        <v>1551</v>
      </c>
      <c r="F842" s="3" t="s">
        <v>38</v>
      </c>
      <c r="G842" s="3" t="s">
        <v>399</v>
      </c>
      <c r="H842" s="3" t="s">
        <v>16</v>
      </c>
      <c r="I842" s="3" t="s">
        <v>1552</v>
      </c>
    </row>
    <row r="843" spans="1:9">
      <c r="A843" s="3" t="s">
        <v>617</v>
      </c>
      <c r="B843" s="3" t="s">
        <v>2569</v>
      </c>
      <c r="C843" s="3" t="s">
        <v>2547</v>
      </c>
      <c r="D843" s="3" t="s">
        <v>336</v>
      </c>
      <c r="E843" s="3" t="s">
        <v>2570</v>
      </c>
      <c r="F843" s="3" t="s">
        <v>38</v>
      </c>
      <c r="G843" s="3" t="s">
        <v>2571</v>
      </c>
      <c r="H843" s="3" t="s">
        <v>323</v>
      </c>
      <c r="I843" s="3" t="s">
        <v>2572</v>
      </c>
    </row>
    <row r="844" spans="1:9">
      <c r="A844" s="3" t="s">
        <v>617</v>
      </c>
      <c r="B844" s="3" t="s">
        <v>2569</v>
      </c>
      <c r="C844" s="3" t="s">
        <v>2547</v>
      </c>
      <c r="D844" s="3" t="s">
        <v>2573</v>
      </c>
      <c r="E844" s="3" t="s">
        <v>2574</v>
      </c>
      <c r="F844" s="3" t="s">
        <v>38</v>
      </c>
      <c r="G844" s="3" t="s">
        <v>2575</v>
      </c>
      <c r="H844" s="3" t="s">
        <v>323</v>
      </c>
      <c r="I844" s="3" t="s">
        <v>2576</v>
      </c>
    </row>
    <row r="845" spans="1:9">
      <c r="A845" s="3" t="s">
        <v>617</v>
      </c>
      <c r="B845" s="3" t="s">
        <v>2588</v>
      </c>
      <c r="C845" s="3" t="s">
        <v>2547</v>
      </c>
      <c r="D845" s="3" t="s">
        <v>2076</v>
      </c>
      <c r="E845" s="3" t="s">
        <v>2589</v>
      </c>
      <c r="F845" s="3" t="s">
        <v>38</v>
      </c>
      <c r="G845" s="3" t="s">
        <v>2590</v>
      </c>
      <c r="H845" s="3" t="s">
        <v>323</v>
      </c>
      <c r="I845" s="3" t="s">
        <v>2591</v>
      </c>
    </row>
    <row r="846" spans="1:9">
      <c r="A846" s="3" t="s">
        <v>617</v>
      </c>
      <c r="B846" s="3" t="s">
        <v>2613</v>
      </c>
      <c r="C846" s="3" t="s">
        <v>2547</v>
      </c>
      <c r="D846" s="3" t="s">
        <v>173</v>
      </c>
      <c r="E846" s="3" t="s">
        <v>2614</v>
      </c>
      <c r="F846" s="3" t="s">
        <v>38</v>
      </c>
      <c r="G846" s="3" t="s">
        <v>2615</v>
      </c>
      <c r="H846" s="3" t="s">
        <v>323</v>
      </c>
      <c r="I846" s="3" t="s">
        <v>2616</v>
      </c>
    </row>
    <row r="847" spans="1:9">
      <c r="A847" s="3" t="s">
        <v>617</v>
      </c>
      <c r="B847" s="3" t="s">
        <v>2613</v>
      </c>
      <c r="C847" s="3" t="s">
        <v>2547</v>
      </c>
      <c r="D847" s="3" t="s">
        <v>165</v>
      </c>
      <c r="E847" s="3" t="s">
        <v>2617</v>
      </c>
      <c r="F847" s="3" t="s">
        <v>38</v>
      </c>
      <c r="G847" s="3" t="s">
        <v>2618</v>
      </c>
      <c r="H847" s="3" t="s">
        <v>323</v>
      </c>
      <c r="I847" s="3" t="s">
        <v>2619</v>
      </c>
    </row>
    <row r="848" spans="1:9">
      <c r="A848" s="3" t="s">
        <v>617</v>
      </c>
      <c r="B848" s="3" t="s">
        <v>2645</v>
      </c>
      <c r="C848" s="3" t="s">
        <v>2547</v>
      </c>
      <c r="D848" s="3" t="s">
        <v>2646</v>
      </c>
      <c r="E848" s="3" t="s">
        <v>2647</v>
      </c>
      <c r="F848" s="3" t="s">
        <v>38</v>
      </c>
      <c r="G848" s="3" t="s">
        <v>2648</v>
      </c>
      <c r="H848" s="3" t="s">
        <v>323</v>
      </c>
      <c r="I848" s="3" t="s">
        <v>2649</v>
      </c>
    </row>
    <row r="849" spans="1:9">
      <c r="A849" s="3" t="s">
        <v>617</v>
      </c>
      <c r="B849" s="3" t="s">
        <v>618</v>
      </c>
      <c r="C849" s="3" t="s">
        <v>2547</v>
      </c>
      <c r="D849" s="3" t="s">
        <v>2726</v>
      </c>
      <c r="E849" s="3" t="s">
        <v>2727</v>
      </c>
      <c r="F849" s="3" t="s">
        <v>217</v>
      </c>
      <c r="G849" s="3" t="s">
        <v>2728</v>
      </c>
      <c r="H849" s="3" t="s">
        <v>16</v>
      </c>
      <c r="I849" s="3" t="s">
        <v>2729</v>
      </c>
    </row>
    <row r="850" spans="1:9">
      <c r="A850" s="3" t="s">
        <v>617</v>
      </c>
      <c r="B850" s="3" t="s">
        <v>2569</v>
      </c>
      <c r="C850" s="3" t="s">
        <v>2547</v>
      </c>
      <c r="D850" s="3" t="s">
        <v>1470</v>
      </c>
      <c r="E850" s="3" t="s">
        <v>2736</v>
      </c>
      <c r="F850" s="3" t="s">
        <v>217</v>
      </c>
      <c r="G850" s="3" t="s">
        <v>2737</v>
      </c>
      <c r="H850" s="3" t="s">
        <v>16</v>
      </c>
      <c r="I850" s="3" t="s">
        <v>2738</v>
      </c>
    </row>
    <row r="851" spans="1:9">
      <c r="A851" s="3" t="s">
        <v>617</v>
      </c>
      <c r="B851" s="3" t="s">
        <v>2739</v>
      </c>
      <c r="C851" s="3" t="s">
        <v>2547</v>
      </c>
      <c r="D851" s="3" t="s">
        <v>45</v>
      </c>
      <c r="E851" s="3" t="s">
        <v>2740</v>
      </c>
      <c r="F851" s="3" t="s">
        <v>217</v>
      </c>
      <c r="G851" s="3" t="s">
        <v>2741</v>
      </c>
      <c r="H851" s="3" t="s">
        <v>16</v>
      </c>
      <c r="I851" s="3" t="s">
        <v>2742</v>
      </c>
    </row>
    <row r="852" spans="1:9">
      <c r="A852" s="3" t="s">
        <v>617</v>
      </c>
      <c r="B852" s="3" t="s">
        <v>2569</v>
      </c>
      <c r="C852" s="3" t="s">
        <v>2547</v>
      </c>
      <c r="D852" s="3" t="s">
        <v>727</v>
      </c>
      <c r="E852" s="3" t="s">
        <v>2751</v>
      </c>
      <c r="F852" s="3" t="s">
        <v>217</v>
      </c>
      <c r="G852" s="3" t="s">
        <v>2752</v>
      </c>
      <c r="H852" s="3" t="s">
        <v>16</v>
      </c>
      <c r="I852" s="3" t="s">
        <v>2753</v>
      </c>
    </row>
    <row r="853" spans="1:9">
      <c r="A853" s="3" t="s">
        <v>617</v>
      </c>
      <c r="B853" s="3" t="s">
        <v>2754</v>
      </c>
      <c r="C853" s="3" t="s">
        <v>2547</v>
      </c>
      <c r="D853" s="3" t="s">
        <v>239</v>
      </c>
      <c r="E853" s="3" t="s">
        <v>2755</v>
      </c>
      <c r="F853" s="3" t="s">
        <v>217</v>
      </c>
      <c r="G853" s="3" t="s">
        <v>2756</v>
      </c>
      <c r="H853" s="3" t="s">
        <v>16</v>
      </c>
      <c r="I853" s="3" t="s">
        <v>2757</v>
      </c>
    </row>
    <row r="854" spans="1:9">
      <c r="A854" s="3" t="s">
        <v>617</v>
      </c>
      <c r="B854" s="3" t="s">
        <v>2768</v>
      </c>
      <c r="C854" s="3" t="s">
        <v>2547</v>
      </c>
      <c r="D854" s="3" t="s">
        <v>2769</v>
      </c>
      <c r="E854" s="3" t="s">
        <v>976</v>
      </c>
      <c r="F854" s="3" t="s">
        <v>225</v>
      </c>
      <c r="G854" s="3" t="s">
        <v>2770</v>
      </c>
      <c r="H854" s="3" t="s">
        <v>323</v>
      </c>
      <c r="I854" s="3" t="s">
        <v>2771</v>
      </c>
    </row>
    <row r="855" spans="1:9">
      <c r="A855" s="3" t="s">
        <v>617</v>
      </c>
      <c r="B855" s="3" t="s">
        <v>2803</v>
      </c>
      <c r="C855" s="3" t="s">
        <v>2547</v>
      </c>
      <c r="D855" s="3" t="s">
        <v>2804</v>
      </c>
      <c r="E855" s="3" t="s">
        <v>967</v>
      </c>
      <c r="F855" s="3" t="s">
        <v>217</v>
      </c>
      <c r="G855" s="3" t="s">
        <v>2805</v>
      </c>
      <c r="H855" s="3" t="s">
        <v>16</v>
      </c>
      <c r="I855" s="3" t="s">
        <v>2806</v>
      </c>
    </row>
    <row r="856" spans="1:9">
      <c r="A856" s="3" t="s">
        <v>617</v>
      </c>
      <c r="B856" s="3" t="s">
        <v>2815</v>
      </c>
      <c r="C856" s="3" t="s">
        <v>2547</v>
      </c>
      <c r="D856" s="3" t="s">
        <v>2816</v>
      </c>
      <c r="E856" s="3" t="s">
        <v>2817</v>
      </c>
      <c r="F856" s="3" t="s">
        <v>217</v>
      </c>
      <c r="G856" s="3" t="s">
        <v>2818</v>
      </c>
      <c r="H856" s="3" t="s">
        <v>16</v>
      </c>
      <c r="I856" s="3" t="s">
        <v>2819</v>
      </c>
    </row>
    <row r="857" spans="1:9">
      <c r="A857" s="3" t="s">
        <v>617</v>
      </c>
      <c r="B857" s="3" t="s">
        <v>2768</v>
      </c>
      <c r="C857" s="3" t="s">
        <v>2547</v>
      </c>
      <c r="D857" s="3" t="s">
        <v>2820</v>
      </c>
      <c r="E857" s="3" t="s">
        <v>2821</v>
      </c>
      <c r="F857" s="3" t="s">
        <v>217</v>
      </c>
      <c r="G857" s="3" t="s">
        <v>2822</v>
      </c>
      <c r="H857" s="3" t="s">
        <v>16</v>
      </c>
      <c r="I857" s="3" t="s">
        <v>2823</v>
      </c>
    </row>
    <row r="858" spans="1:9">
      <c r="A858" s="3" t="s">
        <v>617</v>
      </c>
      <c r="B858" s="3" t="s">
        <v>2569</v>
      </c>
      <c r="C858" s="3" t="s">
        <v>2547</v>
      </c>
      <c r="D858" s="3" t="s">
        <v>809</v>
      </c>
      <c r="E858" s="3" t="s">
        <v>2824</v>
      </c>
      <c r="F858" s="3" t="s">
        <v>217</v>
      </c>
      <c r="G858" s="3" t="s">
        <v>2825</v>
      </c>
      <c r="H858" s="3" t="s">
        <v>16</v>
      </c>
      <c r="I858" s="3" t="s">
        <v>2826</v>
      </c>
    </row>
    <row r="859" spans="1:9">
      <c r="A859" s="3" t="s">
        <v>617</v>
      </c>
      <c r="B859" s="3" t="s">
        <v>2848</v>
      </c>
      <c r="C859" s="3" t="s">
        <v>2547</v>
      </c>
      <c r="D859" s="3" t="s">
        <v>1248</v>
      </c>
      <c r="E859" s="3" t="s">
        <v>2849</v>
      </c>
      <c r="F859" s="3" t="s">
        <v>217</v>
      </c>
      <c r="G859" s="3" t="s">
        <v>472</v>
      </c>
      <c r="H859" s="3" t="s">
        <v>16</v>
      </c>
      <c r="I859" s="3" t="s">
        <v>2850</v>
      </c>
    </row>
    <row r="860" spans="1:9">
      <c r="A860" s="3" t="s">
        <v>617</v>
      </c>
      <c r="B860" s="3" t="s">
        <v>2857</v>
      </c>
      <c r="C860" s="3" t="s">
        <v>2547</v>
      </c>
      <c r="D860" s="3" t="s">
        <v>1460</v>
      </c>
      <c r="E860" s="3" t="s">
        <v>2858</v>
      </c>
      <c r="F860" s="3" t="s">
        <v>217</v>
      </c>
      <c r="G860" s="3"/>
      <c r="H860" s="3" t="s">
        <v>16</v>
      </c>
      <c r="I860" s="3" t="s">
        <v>2859</v>
      </c>
    </row>
    <row r="861" spans="1:9">
      <c r="A861" s="3" t="s">
        <v>617</v>
      </c>
      <c r="B861" s="3" t="s">
        <v>2866</v>
      </c>
      <c r="C861" s="3" t="s">
        <v>2547</v>
      </c>
      <c r="D861" s="3" t="s">
        <v>939</v>
      </c>
      <c r="E861" s="3" t="s">
        <v>2867</v>
      </c>
      <c r="F861" s="3" t="s">
        <v>217</v>
      </c>
      <c r="G861" s="3" t="s">
        <v>2868</v>
      </c>
      <c r="H861" s="3" t="s">
        <v>323</v>
      </c>
      <c r="I861" s="3" t="s">
        <v>2869</v>
      </c>
    </row>
    <row r="862" spans="1:9">
      <c r="A862" s="3" t="s">
        <v>617</v>
      </c>
      <c r="B862" s="3" t="s">
        <v>2803</v>
      </c>
      <c r="C862" s="3" t="s">
        <v>2547</v>
      </c>
      <c r="D862" s="3" t="s">
        <v>2894</v>
      </c>
      <c r="E862" s="3" t="s">
        <v>237</v>
      </c>
      <c r="F862" s="3" t="s">
        <v>217</v>
      </c>
      <c r="G862" s="3" t="s">
        <v>2895</v>
      </c>
      <c r="H862" s="3" t="s">
        <v>16</v>
      </c>
      <c r="I862" s="3" t="s">
        <v>2896</v>
      </c>
    </row>
    <row r="863" spans="1:9">
      <c r="A863" s="3" t="s">
        <v>617</v>
      </c>
      <c r="B863" s="3" t="s">
        <v>2927</v>
      </c>
      <c r="C863" s="3" t="s">
        <v>2547</v>
      </c>
      <c r="D863" s="3" t="s">
        <v>45</v>
      </c>
      <c r="E863" s="3" t="s">
        <v>2928</v>
      </c>
      <c r="F863" s="3" t="s">
        <v>225</v>
      </c>
      <c r="G863" s="3" t="s">
        <v>2929</v>
      </c>
      <c r="H863" s="3" t="s">
        <v>16</v>
      </c>
      <c r="I863" s="3" t="s">
        <v>2930</v>
      </c>
    </row>
    <row r="864" spans="1:9">
      <c r="A864" s="3" t="s">
        <v>617</v>
      </c>
      <c r="B864" s="3" t="s">
        <v>2931</v>
      </c>
      <c r="C864" s="3" t="s">
        <v>2547</v>
      </c>
      <c r="D864" s="3" t="s">
        <v>36</v>
      </c>
      <c r="E864" s="3" t="s">
        <v>2932</v>
      </c>
      <c r="F864" s="3" t="s">
        <v>38</v>
      </c>
      <c r="G864" s="3" t="s">
        <v>2933</v>
      </c>
      <c r="H864" s="3" t="s">
        <v>16</v>
      </c>
      <c r="I864" s="3" t="s">
        <v>2934</v>
      </c>
    </row>
    <row r="865" spans="1:9">
      <c r="A865" s="3" t="s">
        <v>617</v>
      </c>
      <c r="B865" s="3" t="s">
        <v>2941</v>
      </c>
      <c r="C865" s="3" t="s">
        <v>2547</v>
      </c>
      <c r="D865" s="3" t="s">
        <v>1103</v>
      </c>
      <c r="E865" s="3" t="s">
        <v>1708</v>
      </c>
      <c r="F865" s="3" t="s">
        <v>38</v>
      </c>
      <c r="G865" s="3" t="s">
        <v>2607</v>
      </c>
      <c r="H865" s="3" t="s">
        <v>16</v>
      </c>
      <c r="I865" s="3" t="s">
        <v>2942</v>
      </c>
    </row>
    <row r="866" spans="1:9">
      <c r="A866" s="3" t="s">
        <v>617</v>
      </c>
      <c r="B866" s="3" t="s">
        <v>2588</v>
      </c>
      <c r="C866" s="3" t="s">
        <v>2547</v>
      </c>
      <c r="D866" s="3" t="s">
        <v>2943</v>
      </c>
      <c r="E866" s="3" t="s">
        <v>2944</v>
      </c>
      <c r="F866" s="3" t="s">
        <v>38</v>
      </c>
      <c r="G866" s="3" t="s">
        <v>2945</v>
      </c>
      <c r="H866" s="3" t="s">
        <v>323</v>
      </c>
      <c r="I866" s="3" t="s">
        <v>2946</v>
      </c>
    </row>
    <row r="867" spans="1:9">
      <c r="A867" s="3" t="s">
        <v>617</v>
      </c>
      <c r="B867" s="3" t="s">
        <v>2955</v>
      </c>
      <c r="C867" s="3" t="s">
        <v>2547</v>
      </c>
      <c r="D867" s="3" t="s">
        <v>116</v>
      </c>
      <c r="E867" s="3" t="s">
        <v>2956</v>
      </c>
      <c r="F867" s="3" t="s">
        <v>217</v>
      </c>
      <c r="G867" s="3" t="s">
        <v>2957</v>
      </c>
      <c r="H867" s="3" t="s">
        <v>16</v>
      </c>
      <c r="I867" s="3" t="s">
        <v>2958</v>
      </c>
    </row>
    <row r="868" spans="1:9">
      <c r="A868" s="3" t="s">
        <v>617</v>
      </c>
      <c r="B868" s="3" t="s">
        <v>2959</v>
      </c>
      <c r="C868" s="3" t="s">
        <v>2547</v>
      </c>
      <c r="D868" s="3" t="s">
        <v>336</v>
      </c>
      <c r="E868" s="3" t="s">
        <v>2960</v>
      </c>
      <c r="F868" s="3" t="s">
        <v>38</v>
      </c>
      <c r="G868" s="3" t="s">
        <v>2961</v>
      </c>
      <c r="H868" s="3" t="s">
        <v>16</v>
      </c>
      <c r="I868" s="3" t="s">
        <v>2962</v>
      </c>
    </row>
    <row r="869" spans="1:9">
      <c r="A869" s="3" t="s">
        <v>617</v>
      </c>
      <c r="B869" s="3" t="s">
        <v>2613</v>
      </c>
      <c r="C869" s="3" t="s">
        <v>2547</v>
      </c>
      <c r="D869" s="3" t="s">
        <v>2987</v>
      </c>
      <c r="E869" s="3" t="s">
        <v>671</v>
      </c>
      <c r="F869" s="3" t="s">
        <v>217</v>
      </c>
      <c r="G869" s="3" t="s">
        <v>2988</v>
      </c>
      <c r="H869" s="3" t="s">
        <v>323</v>
      </c>
      <c r="I869" s="3" t="s">
        <v>2989</v>
      </c>
    </row>
    <row r="870" spans="1:9">
      <c r="A870" s="3" t="s">
        <v>617</v>
      </c>
      <c r="B870" s="3" t="s">
        <v>2990</v>
      </c>
      <c r="C870" s="3" t="s">
        <v>2547</v>
      </c>
      <c r="D870" s="3" t="s">
        <v>169</v>
      </c>
      <c r="E870" s="3" t="s">
        <v>2991</v>
      </c>
      <c r="F870" s="3" t="s">
        <v>217</v>
      </c>
      <c r="G870" s="3" t="s">
        <v>674</v>
      </c>
      <c r="H870" s="3" t="s">
        <v>323</v>
      </c>
      <c r="I870" s="3" t="s">
        <v>2992</v>
      </c>
    </row>
    <row r="871" spans="1:9">
      <c r="A871" s="3" t="s">
        <v>617</v>
      </c>
      <c r="B871" s="3" t="s">
        <v>3026</v>
      </c>
      <c r="C871" s="3" t="s">
        <v>2547</v>
      </c>
      <c r="D871" s="3" t="s">
        <v>1187</v>
      </c>
      <c r="E871" s="3" t="s">
        <v>3027</v>
      </c>
      <c r="F871" s="3" t="s">
        <v>217</v>
      </c>
      <c r="G871" s="3"/>
      <c r="H871" s="3" t="s">
        <v>16</v>
      </c>
      <c r="I871" s="3" t="s">
        <v>3028</v>
      </c>
    </row>
    <row r="872" spans="1:9">
      <c r="A872" s="3" t="s">
        <v>617</v>
      </c>
      <c r="B872" s="3" t="s">
        <v>3065</v>
      </c>
      <c r="C872" s="3" t="s">
        <v>2547</v>
      </c>
      <c r="D872" s="3" t="s">
        <v>3066</v>
      </c>
      <c r="E872" s="3" t="s">
        <v>3067</v>
      </c>
      <c r="F872" s="3" t="s">
        <v>217</v>
      </c>
      <c r="G872" s="3" t="s">
        <v>3068</v>
      </c>
      <c r="H872" s="3" t="s">
        <v>16</v>
      </c>
      <c r="I872" s="3" t="s">
        <v>3069</v>
      </c>
    </row>
    <row r="873" spans="1:9">
      <c r="A873" s="3" t="s">
        <v>617</v>
      </c>
      <c r="B873" s="3" t="s">
        <v>2803</v>
      </c>
      <c r="C873" s="3" t="s">
        <v>2547</v>
      </c>
      <c r="D873" s="3" t="s">
        <v>885</v>
      </c>
      <c r="E873" s="3" t="s">
        <v>3072</v>
      </c>
      <c r="F873" s="3" t="s">
        <v>217</v>
      </c>
      <c r="G873" s="3" t="s">
        <v>3073</v>
      </c>
      <c r="H873" s="3" t="s">
        <v>16</v>
      </c>
      <c r="I873" s="3" t="s">
        <v>3074</v>
      </c>
    </row>
    <row r="874" spans="1:9">
      <c r="A874" s="3" t="s">
        <v>617</v>
      </c>
      <c r="B874" s="3" t="s">
        <v>3065</v>
      </c>
      <c r="C874" s="3" t="s">
        <v>2547</v>
      </c>
      <c r="D874" s="3" t="s">
        <v>155</v>
      </c>
      <c r="E874" s="3" t="s">
        <v>3099</v>
      </c>
      <c r="F874" s="3" t="s">
        <v>217</v>
      </c>
      <c r="G874" s="3" t="s">
        <v>3100</v>
      </c>
      <c r="H874" s="3" t="s">
        <v>16</v>
      </c>
      <c r="I874" s="3" t="s">
        <v>3101</v>
      </c>
    </row>
    <row r="875" spans="1:9">
      <c r="A875" s="3" t="s">
        <v>617</v>
      </c>
      <c r="B875" s="3" t="s">
        <v>618</v>
      </c>
      <c r="C875" s="3" t="s">
        <v>2547</v>
      </c>
      <c r="D875" s="3" t="s">
        <v>1276</v>
      </c>
      <c r="E875" s="3" t="s">
        <v>3102</v>
      </c>
      <c r="F875" s="3" t="s">
        <v>217</v>
      </c>
      <c r="G875" s="3" t="s">
        <v>3103</v>
      </c>
      <c r="H875" s="3" t="s">
        <v>16</v>
      </c>
      <c r="I875" s="3" t="s">
        <v>3104</v>
      </c>
    </row>
    <row r="876" spans="1:9">
      <c r="A876" s="3" t="s">
        <v>617</v>
      </c>
      <c r="B876" s="3" t="s">
        <v>2569</v>
      </c>
      <c r="C876" s="3" t="s">
        <v>2547</v>
      </c>
      <c r="D876" s="3" t="s">
        <v>1103</v>
      </c>
      <c r="E876" s="3" t="s">
        <v>3114</v>
      </c>
      <c r="F876" s="3" t="s">
        <v>217</v>
      </c>
      <c r="G876" s="3" t="s">
        <v>3115</v>
      </c>
      <c r="H876" s="3" t="s">
        <v>16</v>
      </c>
      <c r="I876" s="3" t="s">
        <v>3116</v>
      </c>
    </row>
    <row r="877" spans="1:9">
      <c r="A877" s="3" t="s">
        <v>617</v>
      </c>
      <c r="B877" s="3" t="s">
        <v>2768</v>
      </c>
      <c r="C877" s="3" t="s">
        <v>2547</v>
      </c>
      <c r="D877" s="3" t="s">
        <v>809</v>
      </c>
      <c r="E877" s="3" t="s">
        <v>3132</v>
      </c>
      <c r="F877" s="3" t="s">
        <v>217</v>
      </c>
      <c r="G877" s="3" t="s">
        <v>3133</v>
      </c>
      <c r="H877" s="3" t="s">
        <v>16</v>
      </c>
      <c r="I877" s="3" t="s">
        <v>3134</v>
      </c>
    </row>
    <row r="878" spans="1:9">
      <c r="A878" s="3" t="s">
        <v>617</v>
      </c>
      <c r="B878" s="3" t="s">
        <v>3026</v>
      </c>
      <c r="C878" s="3" t="s">
        <v>2547</v>
      </c>
      <c r="D878" s="3" t="s">
        <v>3245</v>
      </c>
      <c r="E878" s="3" t="s">
        <v>3246</v>
      </c>
      <c r="F878" s="3" t="s">
        <v>38</v>
      </c>
      <c r="G878" s="3" t="s">
        <v>3247</v>
      </c>
      <c r="H878" s="3" t="s">
        <v>16</v>
      </c>
      <c r="I878" s="3" t="s">
        <v>3248</v>
      </c>
    </row>
    <row r="879" spans="1:9">
      <c r="A879" s="3" t="s">
        <v>617</v>
      </c>
      <c r="B879" s="3" t="s">
        <v>2645</v>
      </c>
      <c r="C879" s="3" t="s">
        <v>2547</v>
      </c>
      <c r="D879" s="3" t="s">
        <v>3291</v>
      </c>
      <c r="E879" s="3" t="s">
        <v>3292</v>
      </c>
      <c r="F879" s="3" t="s">
        <v>38</v>
      </c>
      <c r="G879" s="3" t="s">
        <v>871</v>
      </c>
      <c r="H879" s="3" t="s">
        <v>16</v>
      </c>
      <c r="I879" s="3" t="s">
        <v>3293</v>
      </c>
    </row>
    <row r="880" spans="1:9">
      <c r="A880" s="3" t="s">
        <v>617</v>
      </c>
      <c r="B880" s="3" t="s">
        <v>2613</v>
      </c>
      <c r="C880" s="3" t="s">
        <v>2547</v>
      </c>
      <c r="D880" s="3" t="s">
        <v>1038</v>
      </c>
      <c r="E880" s="3" t="s">
        <v>3328</v>
      </c>
      <c r="F880" s="3" t="s">
        <v>38</v>
      </c>
      <c r="G880" s="3" t="s">
        <v>3329</v>
      </c>
      <c r="H880" s="3" t="s">
        <v>16</v>
      </c>
      <c r="I880" s="3" t="s">
        <v>3330</v>
      </c>
    </row>
    <row r="881" spans="1:9">
      <c r="A881" s="3" t="s">
        <v>617</v>
      </c>
      <c r="B881" s="3" t="s">
        <v>2613</v>
      </c>
      <c r="C881" s="3" t="s">
        <v>2547</v>
      </c>
      <c r="D881" s="3" t="s">
        <v>2597</v>
      </c>
      <c r="E881" s="3" t="s">
        <v>271</v>
      </c>
      <c r="F881" s="3" t="s">
        <v>38</v>
      </c>
      <c r="G881" s="3" t="s">
        <v>3331</v>
      </c>
      <c r="H881" s="3" t="s">
        <v>16</v>
      </c>
      <c r="I881" s="3" t="s">
        <v>3332</v>
      </c>
    </row>
    <row r="882" spans="1:9">
      <c r="A882" s="3" t="s">
        <v>617</v>
      </c>
      <c r="B882" s="3" t="s">
        <v>618</v>
      </c>
      <c r="C882" s="3" t="s">
        <v>2547</v>
      </c>
      <c r="D882" s="3" t="s">
        <v>723</v>
      </c>
      <c r="E882" s="3" t="s">
        <v>862</v>
      </c>
      <c r="F882" s="3" t="s">
        <v>38</v>
      </c>
      <c r="G882" s="3" t="s">
        <v>433</v>
      </c>
      <c r="H882" s="3" t="s">
        <v>16</v>
      </c>
      <c r="I882" s="3" t="s">
        <v>3333</v>
      </c>
    </row>
    <row r="883" spans="1:9">
      <c r="A883" s="3" t="s">
        <v>617</v>
      </c>
      <c r="B883" s="3" t="s">
        <v>2768</v>
      </c>
      <c r="C883" s="3" t="s">
        <v>2547</v>
      </c>
      <c r="D883" s="3" t="s">
        <v>553</v>
      </c>
      <c r="E883" s="3" t="s">
        <v>3334</v>
      </c>
      <c r="F883" s="3" t="s">
        <v>38</v>
      </c>
      <c r="G883" s="3" t="s">
        <v>472</v>
      </c>
      <c r="H883" s="3" t="s">
        <v>16</v>
      </c>
      <c r="I883" s="3" t="s">
        <v>3335</v>
      </c>
    </row>
    <row r="884" spans="1:9">
      <c r="A884" s="3" t="s">
        <v>617</v>
      </c>
      <c r="B884" s="3" t="s">
        <v>2768</v>
      </c>
      <c r="C884" s="3" t="s">
        <v>2547</v>
      </c>
      <c r="D884" s="3" t="s">
        <v>809</v>
      </c>
      <c r="E884" s="3" t="s">
        <v>3336</v>
      </c>
      <c r="F884" s="3" t="s">
        <v>38</v>
      </c>
      <c r="G884" s="3" t="s">
        <v>3337</v>
      </c>
      <c r="H884" s="3" t="s">
        <v>16</v>
      </c>
      <c r="I884" s="3" t="s">
        <v>3338</v>
      </c>
    </row>
    <row r="885" spans="1:9">
      <c r="A885" s="3" t="s">
        <v>617</v>
      </c>
      <c r="B885" s="3" t="s">
        <v>2927</v>
      </c>
      <c r="C885" s="3" t="s">
        <v>2547</v>
      </c>
      <c r="D885" s="3" t="s">
        <v>605</v>
      </c>
      <c r="E885" s="3" t="s">
        <v>3350</v>
      </c>
      <c r="F885" s="3" t="s">
        <v>38</v>
      </c>
      <c r="G885" s="3"/>
      <c r="H885" s="3" t="s">
        <v>16</v>
      </c>
      <c r="I885" s="3" t="s">
        <v>3351</v>
      </c>
    </row>
    <row r="886" spans="1:9">
      <c r="A886" s="3" t="s">
        <v>617</v>
      </c>
      <c r="B886" s="3" t="s">
        <v>2645</v>
      </c>
      <c r="C886" s="3" t="s">
        <v>2547</v>
      </c>
      <c r="D886" s="3" t="s">
        <v>301</v>
      </c>
      <c r="E886" s="3" t="s">
        <v>3423</v>
      </c>
      <c r="F886" s="3" t="s">
        <v>38</v>
      </c>
      <c r="G886" s="3" t="s">
        <v>433</v>
      </c>
      <c r="H886" s="3" t="s">
        <v>16</v>
      </c>
      <c r="I886" s="3" t="s">
        <v>3424</v>
      </c>
    </row>
    <row r="887" spans="1:9">
      <c r="A887" s="3" t="s">
        <v>617</v>
      </c>
      <c r="B887" s="3" t="s">
        <v>2803</v>
      </c>
      <c r="C887" s="3" t="s">
        <v>2547</v>
      </c>
      <c r="D887" s="3" t="s">
        <v>1957</v>
      </c>
      <c r="E887" s="3" t="s">
        <v>3426</v>
      </c>
      <c r="F887" s="3" t="s">
        <v>38</v>
      </c>
      <c r="G887" s="3" t="s">
        <v>3427</v>
      </c>
      <c r="H887" s="3" t="s">
        <v>16</v>
      </c>
      <c r="I887" s="3" t="s">
        <v>3428</v>
      </c>
    </row>
    <row r="888" spans="1:9">
      <c r="A888" s="3" t="s">
        <v>617</v>
      </c>
      <c r="B888" s="3" t="s">
        <v>2803</v>
      </c>
      <c r="C888" s="3" t="s">
        <v>2547</v>
      </c>
      <c r="D888" s="3" t="s">
        <v>3505</v>
      </c>
      <c r="E888" s="3" t="s">
        <v>3506</v>
      </c>
      <c r="F888" s="3" t="s">
        <v>38</v>
      </c>
      <c r="G888" s="3" t="s">
        <v>3507</v>
      </c>
      <c r="H888" s="3" t="s">
        <v>16</v>
      </c>
      <c r="I888" s="3" t="s">
        <v>3508</v>
      </c>
    </row>
    <row r="889" spans="1:9">
      <c r="A889" s="3" t="s">
        <v>617</v>
      </c>
      <c r="B889" s="3" t="s">
        <v>2645</v>
      </c>
      <c r="C889" s="3" t="s">
        <v>2547</v>
      </c>
      <c r="D889" s="3" t="s">
        <v>1899</v>
      </c>
      <c r="E889" s="3" t="s">
        <v>3509</v>
      </c>
      <c r="F889" s="3" t="s">
        <v>38</v>
      </c>
      <c r="G889" s="3" t="s">
        <v>3510</v>
      </c>
      <c r="H889" s="3" t="s">
        <v>16</v>
      </c>
      <c r="I889" s="3" t="s">
        <v>3511</v>
      </c>
    </row>
    <row r="890" spans="1:9">
      <c r="A890" s="3" t="s">
        <v>617</v>
      </c>
      <c r="B890" s="3" t="s">
        <v>3559</v>
      </c>
      <c r="C890" s="3" t="s">
        <v>3529</v>
      </c>
      <c r="D890" s="3" t="s">
        <v>239</v>
      </c>
      <c r="E890" s="3" t="s">
        <v>3560</v>
      </c>
      <c r="F890" s="3" t="s">
        <v>217</v>
      </c>
      <c r="G890" s="3" t="s">
        <v>3561</v>
      </c>
      <c r="H890" s="3" t="s">
        <v>323</v>
      </c>
      <c r="I890" s="3" t="s">
        <v>3562</v>
      </c>
    </row>
    <row r="891" spans="1:9">
      <c r="A891" s="3" t="s">
        <v>617</v>
      </c>
      <c r="B891" s="3" t="s">
        <v>3570</v>
      </c>
      <c r="C891" s="3" t="s">
        <v>3529</v>
      </c>
      <c r="D891" s="3" t="s">
        <v>1187</v>
      </c>
      <c r="E891" s="3" t="s">
        <v>3571</v>
      </c>
      <c r="F891" s="3" t="s">
        <v>217</v>
      </c>
      <c r="G891" s="3" t="s">
        <v>3572</v>
      </c>
      <c r="H891" s="3" t="s">
        <v>323</v>
      </c>
      <c r="I891" s="3" t="s">
        <v>3573</v>
      </c>
    </row>
    <row r="892" spans="1:9">
      <c r="A892" s="3" t="s">
        <v>617</v>
      </c>
      <c r="B892" s="3" t="s">
        <v>3574</v>
      </c>
      <c r="C892" s="3" t="s">
        <v>3529</v>
      </c>
      <c r="D892" s="3" t="s">
        <v>3575</v>
      </c>
      <c r="E892" s="3" t="s">
        <v>3576</v>
      </c>
      <c r="F892" s="3" t="s">
        <v>217</v>
      </c>
      <c r="G892" s="3" t="s">
        <v>729</v>
      </c>
      <c r="H892" s="3" t="s">
        <v>323</v>
      </c>
      <c r="I892" s="3" t="s">
        <v>3577</v>
      </c>
    </row>
    <row r="893" spans="1:9">
      <c r="A893" s="3" t="s">
        <v>617</v>
      </c>
      <c r="B893" s="3" t="s">
        <v>3578</v>
      </c>
      <c r="C893" s="3" t="s">
        <v>3529</v>
      </c>
      <c r="D893" s="3" t="s">
        <v>439</v>
      </c>
      <c r="E893" s="3" t="s">
        <v>439</v>
      </c>
      <c r="F893" s="3" t="s">
        <v>38</v>
      </c>
      <c r="G893" s="3" t="s">
        <v>439</v>
      </c>
      <c r="H893" s="3" t="s">
        <v>16</v>
      </c>
      <c r="I893" s="3" t="s">
        <v>3579</v>
      </c>
    </row>
    <row r="894" spans="1:9">
      <c r="A894" s="3" t="s">
        <v>2333</v>
      </c>
      <c r="B894" s="3" t="s">
        <v>2334</v>
      </c>
      <c r="C894" s="3" t="s">
        <v>2157</v>
      </c>
      <c r="D894" s="3" t="s">
        <v>2027</v>
      </c>
      <c r="E894" s="3" t="s">
        <v>2335</v>
      </c>
      <c r="F894" s="3" t="s">
        <v>38</v>
      </c>
      <c r="G894" s="3" t="s">
        <v>2336</v>
      </c>
      <c r="H894" s="3" t="s">
        <v>323</v>
      </c>
      <c r="I894" s="3" t="s">
        <v>2337</v>
      </c>
    </row>
    <row r="895" spans="1:9">
      <c r="A895" s="3" t="s">
        <v>2333</v>
      </c>
      <c r="B895" s="3" t="s">
        <v>2334</v>
      </c>
      <c r="C895" s="3" t="s">
        <v>2157</v>
      </c>
      <c r="D895" s="3" t="s">
        <v>286</v>
      </c>
      <c r="E895" s="3" t="s">
        <v>2435</v>
      </c>
      <c r="F895" s="3" t="s">
        <v>38</v>
      </c>
      <c r="G895" s="3" t="s">
        <v>2436</v>
      </c>
      <c r="H895" s="3" t="s">
        <v>16</v>
      </c>
      <c r="I895" s="3" t="s">
        <v>2437</v>
      </c>
    </row>
    <row r="896" spans="1:9">
      <c r="A896" s="3" t="s">
        <v>2333</v>
      </c>
      <c r="B896" s="3" t="s">
        <v>2609</v>
      </c>
      <c r="C896" s="3" t="s">
        <v>2547</v>
      </c>
      <c r="D896" s="3" t="s">
        <v>107</v>
      </c>
      <c r="E896" s="3" t="s">
        <v>2610</v>
      </c>
      <c r="F896" s="3" t="s">
        <v>38</v>
      </c>
      <c r="G896" s="3" t="s">
        <v>2611</v>
      </c>
      <c r="H896" s="3" t="s">
        <v>16</v>
      </c>
      <c r="I896" s="3" t="s">
        <v>2612</v>
      </c>
    </row>
    <row r="897" spans="1:9">
      <c r="A897" s="3" t="s">
        <v>2333</v>
      </c>
      <c r="B897" s="3" t="s">
        <v>2624</v>
      </c>
      <c r="C897" s="3" t="s">
        <v>2547</v>
      </c>
      <c r="D897" s="3" t="s">
        <v>1979</v>
      </c>
      <c r="E897" s="3" t="s">
        <v>655</v>
      </c>
      <c r="F897" s="3" t="s">
        <v>38</v>
      </c>
      <c r="G897" s="3" t="s">
        <v>385</v>
      </c>
      <c r="H897" s="3" t="s">
        <v>323</v>
      </c>
      <c r="I897" s="3" t="s">
        <v>2625</v>
      </c>
    </row>
    <row r="898" spans="1:9">
      <c r="A898" s="3" t="s">
        <v>2333</v>
      </c>
      <c r="B898" s="3" t="s">
        <v>2624</v>
      </c>
      <c r="C898" s="3" t="s">
        <v>2547</v>
      </c>
      <c r="D898" s="3" t="s">
        <v>2626</v>
      </c>
      <c r="E898" s="3" t="s">
        <v>2627</v>
      </c>
      <c r="F898" s="3" t="s">
        <v>38</v>
      </c>
      <c r="G898" s="3" t="s">
        <v>2628</v>
      </c>
      <c r="H898" s="3" t="s">
        <v>323</v>
      </c>
      <c r="I898" s="3" t="s">
        <v>2629</v>
      </c>
    </row>
    <row r="899" spans="1:9">
      <c r="A899" s="3" t="s">
        <v>2333</v>
      </c>
      <c r="B899" s="3" t="s">
        <v>2609</v>
      </c>
      <c r="C899" s="3" t="s">
        <v>2547</v>
      </c>
      <c r="D899" s="3" t="s">
        <v>239</v>
      </c>
      <c r="E899" s="3" t="s">
        <v>2687</v>
      </c>
      <c r="F899" s="3" t="s">
        <v>38</v>
      </c>
      <c r="G899" s="3" t="s">
        <v>2688</v>
      </c>
      <c r="H899" s="3" t="s">
        <v>323</v>
      </c>
      <c r="I899" s="3" t="s">
        <v>2689</v>
      </c>
    </row>
    <row r="900" spans="1:9">
      <c r="A900" s="3" t="s">
        <v>2333</v>
      </c>
      <c r="B900" s="3" t="s">
        <v>2609</v>
      </c>
      <c r="C900" s="3" t="s">
        <v>2547</v>
      </c>
      <c r="D900" s="3" t="s">
        <v>1276</v>
      </c>
      <c r="E900" s="3" t="s">
        <v>2385</v>
      </c>
      <c r="F900" s="3" t="s">
        <v>217</v>
      </c>
      <c r="G900" s="3" t="s">
        <v>2777</v>
      </c>
      <c r="H900" s="3" t="s">
        <v>16</v>
      </c>
      <c r="I900" s="3" t="s">
        <v>2778</v>
      </c>
    </row>
    <row r="901" spans="1:9">
      <c r="A901" s="3" t="s">
        <v>2333</v>
      </c>
      <c r="B901" s="3" t="s">
        <v>2624</v>
      </c>
      <c r="C901" s="3" t="s">
        <v>2547</v>
      </c>
      <c r="D901" s="3" t="s">
        <v>3052</v>
      </c>
      <c r="E901" s="3" t="s">
        <v>1944</v>
      </c>
      <c r="F901" s="3" t="s">
        <v>38</v>
      </c>
      <c r="G901" s="3" t="s">
        <v>3053</v>
      </c>
      <c r="H901" s="3" t="s">
        <v>16</v>
      </c>
      <c r="I901" s="3" t="s">
        <v>3054</v>
      </c>
    </row>
    <row r="902" spans="1:9">
      <c r="A902" s="3" t="s">
        <v>2333</v>
      </c>
      <c r="B902" s="3" t="s">
        <v>2609</v>
      </c>
      <c r="C902" s="3" t="s">
        <v>2547</v>
      </c>
      <c r="D902" s="3" t="s">
        <v>173</v>
      </c>
      <c r="E902" s="3" t="s">
        <v>3129</v>
      </c>
      <c r="F902" s="3" t="s">
        <v>217</v>
      </c>
      <c r="G902" s="3" t="s">
        <v>3130</v>
      </c>
      <c r="H902" s="3" t="s">
        <v>16</v>
      </c>
      <c r="I902" s="3" t="s">
        <v>3131</v>
      </c>
    </row>
    <row r="903" spans="1:9">
      <c r="A903" s="3" t="s">
        <v>2333</v>
      </c>
      <c r="B903" s="3" t="s">
        <v>3149</v>
      </c>
      <c r="C903" s="3" t="s">
        <v>2547</v>
      </c>
      <c r="D903" s="3" t="s">
        <v>116</v>
      </c>
      <c r="E903" s="3" t="s">
        <v>3150</v>
      </c>
      <c r="F903" s="3" t="s">
        <v>217</v>
      </c>
      <c r="G903" s="3" t="s">
        <v>3151</v>
      </c>
      <c r="H903" s="3" t="s">
        <v>16</v>
      </c>
      <c r="I903" s="3" t="s">
        <v>3152</v>
      </c>
    </row>
    <row r="904" spans="1:9">
      <c r="A904" s="3" t="s">
        <v>2333</v>
      </c>
      <c r="B904" s="3" t="s">
        <v>2609</v>
      </c>
      <c r="C904" s="3" t="s">
        <v>2547</v>
      </c>
      <c r="D904" s="3" t="s">
        <v>3352</v>
      </c>
      <c r="E904" s="3" t="s">
        <v>2468</v>
      </c>
      <c r="F904" s="3" t="s">
        <v>38</v>
      </c>
      <c r="G904" s="3" t="s">
        <v>3353</v>
      </c>
      <c r="H904" s="3" t="s">
        <v>16</v>
      </c>
      <c r="I904" s="3" t="s">
        <v>3354</v>
      </c>
    </row>
    <row r="905" spans="1:9">
      <c r="A905" s="3" t="s">
        <v>2333</v>
      </c>
      <c r="B905" s="3" t="s">
        <v>2609</v>
      </c>
      <c r="C905" s="3" t="s">
        <v>2547</v>
      </c>
      <c r="D905" s="3" t="s">
        <v>219</v>
      </c>
      <c r="E905" s="3" t="s">
        <v>3355</v>
      </c>
      <c r="F905" s="3" t="s">
        <v>38</v>
      </c>
      <c r="G905" s="3"/>
      <c r="H905" s="3" t="s">
        <v>16</v>
      </c>
      <c r="I905" s="3" t="s">
        <v>3356</v>
      </c>
    </row>
    <row r="906" spans="1:9">
      <c r="A906" s="3" t="s">
        <v>2333</v>
      </c>
      <c r="B906" s="3" t="s">
        <v>3524</v>
      </c>
      <c r="C906" s="3" t="s">
        <v>3513</v>
      </c>
      <c r="D906" s="3" t="s">
        <v>3525</v>
      </c>
      <c r="E906" s="3" t="s">
        <v>3526</v>
      </c>
      <c r="F906" s="3" t="s">
        <v>38</v>
      </c>
      <c r="G906" s="3" t="s">
        <v>620</v>
      </c>
      <c r="H906" s="3" t="s">
        <v>3519</v>
      </c>
      <c r="I906" s="3" t="s">
        <v>3527</v>
      </c>
    </row>
    <row r="907" spans="1:9">
      <c r="A907" s="3" t="s">
        <v>2333</v>
      </c>
      <c r="B907" s="3" t="s">
        <v>3593</v>
      </c>
      <c r="C907" s="3" t="s">
        <v>3529</v>
      </c>
      <c r="D907" s="3" t="s">
        <v>3594</v>
      </c>
      <c r="E907" s="3" t="s">
        <v>3595</v>
      </c>
      <c r="F907" s="3" t="s">
        <v>217</v>
      </c>
      <c r="G907" s="3" t="s">
        <v>3596</v>
      </c>
      <c r="H907" s="3" t="s">
        <v>16</v>
      </c>
      <c r="I907" s="3" t="s">
        <v>3597</v>
      </c>
    </row>
    <row r="908" spans="1:9">
      <c r="A908" s="3" t="s">
        <v>2333</v>
      </c>
      <c r="B908" s="3" t="s">
        <v>3625</v>
      </c>
      <c r="C908" s="3" t="s">
        <v>3529</v>
      </c>
      <c r="D908" s="3" t="s">
        <v>509</v>
      </c>
      <c r="E908" s="3" t="s">
        <v>3626</v>
      </c>
      <c r="F908" s="3" t="s">
        <v>217</v>
      </c>
      <c r="G908" s="3" t="s">
        <v>3627</v>
      </c>
      <c r="H908" s="3" t="s">
        <v>16</v>
      </c>
      <c r="I908" s="3" t="s">
        <v>3628</v>
      </c>
    </row>
    <row r="909" spans="1:9">
      <c r="A909" s="3" t="s">
        <v>629</v>
      </c>
      <c r="B909" s="3" t="s">
        <v>630</v>
      </c>
      <c r="C909" s="3" t="s">
        <v>320</v>
      </c>
      <c r="D909" s="3" t="s">
        <v>631</v>
      </c>
      <c r="E909" s="3" t="s">
        <v>632</v>
      </c>
      <c r="F909" s="3" t="s">
        <v>14</v>
      </c>
      <c r="G909" s="3" t="s">
        <v>633</v>
      </c>
      <c r="H909" s="3" t="s">
        <v>16</v>
      </c>
      <c r="I909" s="3" t="s">
        <v>634</v>
      </c>
    </row>
    <row r="910" spans="1:9">
      <c r="A910" s="3" t="s">
        <v>629</v>
      </c>
      <c r="B910" s="3" t="s">
        <v>684</v>
      </c>
      <c r="C910" s="3" t="s">
        <v>320</v>
      </c>
      <c r="D910" s="3" t="s">
        <v>685</v>
      </c>
      <c r="E910" s="3" t="s">
        <v>686</v>
      </c>
      <c r="F910" s="3" t="s">
        <v>217</v>
      </c>
      <c r="G910" s="3" t="s">
        <v>687</v>
      </c>
      <c r="H910" s="3" t="s">
        <v>16</v>
      </c>
      <c r="I910" s="3" t="s">
        <v>688</v>
      </c>
    </row>
    <row r="911" spans="1:9">
      <c r="A911" s="3" t="s">
        <v>629</v>
      </c>
      <c r="B911" s="3" t="s">
        <v>684</v>
      </c>
      <c r="C911" s="3" t="s">
        <v>320</v>
      </c>
      <c r="D911" s="3" t="s">
        <v>328</v>
      </c>
      <c r="E911" s="3" t="s">
        <v>790</v>
      </c>
      <c r="F911" s="3" t="s">
        <v>38</v>
      </c>
      <c r="G911" s="3" t="s">
        <v>433</v>
      </c>
      <c r="H911" s="3" t="s">
        <v>16</v>
      </c>
      <c r="I911" s="3" t="s">
        <v>791</v>
      </c>
    </row>
    <row r="912" spans="1:9">
      <c r="A912" s="3" t="s">
        <v>629</v>
      </c>
      <c r="B912" s="3" t="s">
        <v>684</v>
      </c>
      <c r="C912" s="3" t="s">
        <v>320</v>
      </c>
      <c r="D912" s="3" t="s">
        <v>792</v>
      </c>
      <c r="E912" s="3" t="s">
        <v>793</v>
      </c>
      <c r="F912" s="3" t="s">
        <v>38</v>
      </c>
      <c r="G912" s="3" t="s">
        <v>794</v>
      </c>
      <c r="H912" s="3" t="s">
        <v>16</v>
      </c>
      <c r="I912" s="3" t="s">
        <v>795</v>
      </c>
    </row>
    <row r="913" spans="1:9">
      <c r="A913" s="3" t="s">
        <v>629</v>
      </c>
      <c r="B913" s="3" t="s">
        <v>914</v>
      </c>
      <c r="C913" s="3" t="s">
        <v>900</v>
      </c>
      <c r="D913" s="3" t="s">
        <v>348</v>
      </c>
      <c r="E913" s="3" t="s">
        <v>797</v>
      </c>
      <c r="F913" s="3" t="s">
        <v>38</v>
      </c>
      <c r="G913" s="3" t="s">
        <v>915</v>
      </c>
      <c r="H913" s="3" t="s">
        <v>323</v>
      </c>
      <c r="I913" s="3" t="s">
        <v>916</v>
      </c>
    </row>
    <row r="914" spans="1:9">
      <c r="A914" s="3" t="s">
        <v>629</v>
      </c>
      <c r="B914" s="3" t="s">
        <v>933</v>
      </c>
      <c r="C914" s="3" t="s">
        <v>900</v>
      </c>
      <c r="D914" s="3" t="s">
        <v>165</v>
      </c>
      <c r="E914" s="3" t="s">
        <v>934</v>
      </c>
      <c r="F914" s="3" t="s">
        <v>38</v>
      </c>
      <c r="G914" s="3"/>
      <c r="H914" s="3" t="s">
        <v>323</v>
      </c>
      <c r="I914" s="3" t="s">
        <v>935</v>
      </c>
    </row>
    <row r="915" spans="1:9">
      <c r="A915" s="3" t="s">
        <v>629</v>
      </c>
      <c r="B915" s="3" t="s">
        <v>938</v>
      </c>
      <c r="C915" s="3" t="s">
        <v>900</v>
      </c>
      <c r="D915" s="3" t="s">
        <v>939</v>
      </c>
      <c r="E915" s="3" t="s">
        <v>940</v>
      </c>
      <c r="F915" s="3" t="s">
        <v>38</v>
      </c>
      <c r="G915" s="3" t="s">
        <v>941</v>
      </c>
      <c r="H915" s="3" t="s">
        <v>323</v>
      </c>
      <c r="I915" s="3" t="s">
        <v>942</v>
      </c>
    </row>
    <row r="916" spans="1:9">
      <c r="A916" s="3" t="s">
        <v>629</v>
      </c>
      <c r="B916" s="3" t="s">
        <v>943</v>
      </c>
      <c r="C916" s="3" t="s">
        <v>900</v>
      </c>
      <c r="D916" s="3" t="s">
        <v>944</v>
      </c>
      <c r="E916" s="3" t="s">
        <v>945</v>
      </c>
      <c r="F916" s="3" t="s">
        <v>38</v>
      </c>
      <c r="G916" s="3" t="s">
        <v>946</v>
      </c>
      <c r="H916" s="3" t="s">
        <v>323</v>
      </c>
      <c r="I916" s="3" t="s">
        <v>947</v>
      </c>
    </row>
    <row r="917" spans="1:9">
      <c r="A917" s="3" t="s">
        <v>629</v>
      </c>
      <c r="B917" s="3" t="s">
        <v>951</v>
      </c>
      <c r="C917" s="3" t="s">
        <v>900</v>
      </c>
      <c r="D917" s="3" t="s">
        <v>952</v>
      </c>
      <c r="E917" s="3" t="s">
        <v>953</v>
      </c>
      <c r="F917" s="3" t="s">
        <v>38</v>
      </c>
      <c r="G917" s="3" t="s">
        <v>385</v>
      </c>
      <c r="H917" s="3" t="s">
        <v>323</v>
      </c>
      <c r="I917" s="3" t="s">
        <v>954</v>
      </c>
    </row>
    <row r="918" spans="1:9">
      <c r="A918" s="3" t="s">
        <v>629</v>
      </c>
      <c r="B918" s="3" t="s">
        <v>955</v>
      </c>
      <c r="C918" s="3" t="s">
        <v>900</v>
      </c>
      <c r="D918" s="3" t="s">
        <v>239</v>
      </c>
      <c r="E918" s="3" t="s">
        <v>956</v>
      </c>
      <c r="F918" s="3" t="s">
        <v>38</v>
      </c>
      <c r="G918" s="3" t="s">
        <v>385</v>
      </c>
      <c r="H918" s="3" t="s">
        <v>323</v>
      </c>
      <c r="I918" s="3" t="s">
        <v>957</v>
      </c>
    </row>
    <row r="919" spans="1:9">
      <c r="A919" s="3" t="s">
        <v>629</v>
      </c>
      <c r="B919" s="3" t="s">
        <v>958</v>
      </c>
      <c r="C919" s="3" t="s">
        <v>900</v>
      </c>
      <c r="D919" s="3" t="s">
        <v>857</v>
      </c>
      <c r="E919" s="3" t="s">
        <v>610</v>
      </c>
      <c r="F919" s="3" t="s">
        <v>38</v>
      </c>
      <c r="G919" s="3" t="s">
        <v>959</v>
      </c>
      <c r="H919" s="3" t="s">
        <v>323</v>
      </c>
      <c r="I919" s="3" t="s">
        <v>960</v>
      </c>
    </row>
    <row r="920" spans="1:9">
      <c r="A920" s="3" t="s">
        <v>629</v>
      </c>
      <c r="B920" s="3" t="s">
        <v>951</v>
      </c>
      <c r="C920" s="3" t="s">
        <v>900</v>
      </c>
      <c r="D920" s="3" t="s">
        <v>970</v>
      </c>
      <c r="E920" s="3" t="s">
        <v>971</v>
      </c>
      <c r="F920" s="3" t="s">
        <v>38</v>
      </c>
      <c r="G920" s="3" t="s">
        <v>972</v>
      </c>
      <c r="H920" s="3" t="s">
        <v>323</v>
      </c>
      <c r="I920" s="3" t="s">
        <v>973</v>
      </c>
    </row>
    <row r="921" spans="1:9">
      <c r="A921" s="3" t="s">
        <v>629</v>
      </c>
      <c r="B921" s="3" t="s">
        <v>974</v>
      </c>
      <c r="C921" s="3" t="s">
        <v>900</v>
      </c>
      <c r="D921" s="3" t="s">
        <v>975</v>
      </c>
      <c r="E921" s="3" t="s">
        <v>976</v>
      </c>
      <c r="F921" s="3" t="s">
        <v>38</v>
      </c>
      <c r="G921" s="3" t="s">
        <v>977</v>
      </c>
      <c r="H921" s="3" t="s">
        <v>323</v>
      </c>
      <c r="I921" s="3" t="s">
        <v>978</v>
      </c>
    </row>
    <row r="922" spans="1:9">
      <c r="A922" s="3" t="s">
        <v>629</v>
      </c>
      <c r="B922" s="3" t="s">
        <v>979</v>
      </c>
      <c r="C922" s="3" t="s">
        <v>900</v>
      </c>
      <c r="D922" s="3" t="s">
        <v>348</v>
      </c>
      <c r="E922" s="3" t="s">
        <v>980</v>
      </c>
      <c r="F922" s="3" t="s">
        <v>38</v>
      </c>
      <c r="G922" s="3" t="s">
        <v>981</v>
      </c>
      <c r="H922" s="3" t="s">
        <v>323</v>
      </c>
      <c r="I922" s="3" t="s">
        <v>982</v>
      </c>
    </row>
    <row r="923" spans="1:9">
      <c r="A923" s="3" t="s">
        <v>629</v>
      </c>
      <c r="B923" s="3" t="s">
        <v>983</v>
      </c>
      <c r="C923" s="3" t="s">
        <v>900</v>
      </c>
      <c r="D923" s="3" t="s">
        <v>984</v>
      </c>
      <c r="E923" s="3" t="s">
        <v>985</v>
      </c>
      <c r="F923" s="3" t="s">
        <v>38</v>
      </c>
      <c r="G923" s="3" t="s">
        <v>986</v>
      </c>
      <c r="H923" s="3" t="s">
        <v>323</v>
      </c>
      <c r="I923" s="3" t="s">
        <v>987</v>
      </c>
    </row>
    <row r="924" spans="1:9">
      <c r="A924" s="3" t="s">
        <v>629</v>
      </c>
      <c r="B924" s="3" t="s">
        <v>1004</v>
      </c>
      <c r="C924" s="3" t="s">
        <v>900</v>
      </c>
      <c r="D924" s="3" t="s">
        <v>1005</v>
      </c>
      <c r="E924" s="3" t="s">
        <v>1006</v>
      </c>
      <c r="F924" s="3" t="s">
        <v>217</v>
      </c>
      <c r="G924" s="3" t="s">
        <v>1007</v>
      </c>
      <c r="H924" s="3" t="s">
        <v>16</v>
      </c>
      <c r="I924" s="3" t="s">
        <v>1008</v>
      </c>
    </row>
    <row r="925" spans="1:9">
      <c r="A925" s="3" t="s">
        <v>629</v>
      </c>
      <c r="B925" s="3" t="s">
        <v>1009</v>
      </c>
      <c r="C925" s="3" t="s">
        <v>900</v>
      </c>
      <c r="D925" s="3" t="s">
        <v>45</v>
      </c>
      <c r="E925" s="3" t="s">
        <v>1010</v>
      </c>
      <c r="F925" s="3" t="s">
        <v>217</v>
      </c>
      <c r="G925" s="3" t="s">
        <v>1011</v>
      </c>
      <c r="H925" s="3" t="s">
        <v>323</v>
      </c>
      <c r="I925" s="3" t="s">
        <v>1012</v>
      </c>
    </row>
    <row r="926" spans="1:9">
      <c r="A926" s="3" t="s">
        <v>629</v>
      </c>
      <c r="B926" s="3" t="s">
        <v>1013</v>
      </c>
      <c r="C926" s="3" t="s">
        <v>900</v>
      </c>
      <c r="D926" s="3" t="s">
        <v>1014</v>
      </c>
      <c r="E926" s="3" t="s">
        <v>518</v>
      </c>
      <c r="F926" s="3" t="s">
        <v>225</v>
      </c>
      <c r="G926" s="3" t="s">
        <v>1015</v>
      </c>
      <c r="H926" s="3" t="s">
        <v>323</v>
      </c>
      <c r="I926" s="3" t="s">
        <v>1016</v>
      </c>
    </row>
    <row r="927" spans="1:9">
      <c r="A927" s="3" t="s">
        <v>629</v>
      </c>
      <c r="B927" s="3" t="s">
        <v>1017</v>
      </c>
      <c r="C927" s="3" t="s">
        <v>900</v>
      </c>
      <c r="D927" s="3" t="s">
        <v>41</v>
      </c>
      <c r="E927" s="3" t="s">
        <v>1018</v>
      </c>
      <c r="F927" s="3" t="s">
        <v>38</v>
      </c>
      <c r="G927" s="3" t="s">
        <v>1019</v>
      </c>
      <c r="H927" s="3" t="s">
        <v>16</v>
      </c>
      <c r="I927" s="3" t="s">
        <v>1020</v>
      </c>
    </row>
    <row r="928" spans="1:9">
      <c r="A928" s="3" t="s">
        <v>629</v>
      </c>
      <c r="B928" s="3" t="s">
        <v>1021</v>
      </c>
      <c r="C928" s="3" t="s">
        <v>900</v>
      </c>
      <c r="D928" s="3" t="s">
        <v>165</v>
      </c>
      <c r="E928" s="3" t="s">
        <v>1022</v>
      </c>
      <c r="F928" s="3" t="s">
        <v>14</v>
      </c>
      <c r="G928" s="3" t="s">
        <v>1023</v>
      </c>
      <c r="H928" s="3" t="s">
        <v>16</v>
      </c>
      <c r="I928" s="3" t="s">
        <v>1024</v>
      </c>
    </row>
    <row r="929" spans="1:9">
      <c r="A929" s="3" t="s">
        <v>629</v>
      </c>
      <c r="B929" s="3" t="s">
        <v>1029</v>
      </c>
      <c r="C929" s="3" t="s">
        <v>900</v>
      </c>
      <c r="D929" s="3" t="s">
        <v>107</v>
      </c>
      <c r="E929" s="3" t="s">
        <v>1030</v>
      </c>
      <c r="F929" s="3" t="s">
        <v>38</v>
      </c>
      <c r="G929" s="3" t="s">
        <v>1031</v>
      </c>
      <c r="H929" s="3" t="s">
        <v>16</v>
      </c>
      <c r="I929" s="3" t="s">
        <v>1032</v>
      </c>
    </row>
    <row r="930" spans="1:9">
      <c r="A930" s="3" t="s">
        <v>629</v>
      </c>
      <c r="B930" s="3" t="s">
        <v>1033</v>
      </c>
      <c r="C930" s="3" t="s">
        <v>900</v>
      </c>
      <c r="D930" s="3" t="s">
        <v>605</v>
      </c>
      <c r="E930" s="3" t="s">
        <v>1034</v>
      </c>
      <c r="F930" s="3" t="s">
        <v>38</v>
      </c>
      <c r="G930" s="3" t="s">
        <v>1035</v>
      </c>
      <c r="H930" s="3" t="s">
        <v>16</v>
      </c>
      <c r="I930" s="3" t="s">
        <v>1036</v>
      </c>
    </row>
    <row r="931" spans="1:9">
      <c r="A931" s="3" t="s">
        <v>629</v>
      </c>
      <c r="B931" s="3" t="s">
        <v>1037</v>
      </c>
      <c r="C931" s="3" t="s">
        <v>900</v>
      </c>
      <c r="D931" s="3" t="s">
        <v>1038</v>
      </c>
      <c r="E931" s="3" t="s">
        <v>1039</v>
      </c>
      <c r="F931" s="3" t="s">
        <v>38</v>
      </c>
      <c r="G931" s="3" t="s">
        <v>1040</v>
      </c>
      <c r="H931" s="3" t="s">
        <v>16</v>
      </c>
      <c r="I931" s="3" t="s">
        <v>1041</v>
      </c>
    </row>
    <row r="932" spans="1:9">
      <c r="A932" s="3" t="s">
        <v>629</v>
      </c>
      <c r="B932" s="3" t="s">
        <v>974</v>
      </c>
      <c r="C932" s="3" t="s">
        <v>900</v>
      </c>
      <c r="D932" s="3" t="s">
        <v>723</v>
      </c>
      <c r="E932" s="3" t="s">
        <v>1053</v>
      </c>
      <c r="F932" s="3" t="s">
        <v>217</v>
      </c>
      <c r="G932" s="3" t="s">
        <v>1054</v>
      </c>
      <c r="H932" s="3" t="s">
        <v>16</v>
      </c>
      <c r="I932" s="3" t="s">
        <v>1055</v>
      </c>
    </row>
    <row r="933" spans="1:9">
      <c r="A933" s="3" t="s">
        <v>629</v>
      </c>
      <c r="B933" s="3" t="s">
        <v>1056</v>
      </c>
      <c r="C933" s="3" t="s">
        <v>900</v>
      </c>
      <c r="D933" s="3" t="s">
        <v>439</v>
      </c>
      <c r="E933" s="3" t="s">
        <v>439</v>
      </c>
      <c r="F933" s="3" t="s">
        <v>38</v>
      </c>
      <c r="G933" s="3" t="s">
        <v>439</v>
      </c>
      <c r="H933" s="3" t="s">
        <v>16</v>
      </c>
      <c r="I933" s="3" t="s">
        <v>1057</v>
      </c>
    </row>
    <row r="934" spans="1:9">
      <c r="A934" s="3" t="s">
        <v>629</v>
      </c>
      <c r="B934" s="3" t="s">
        <v>1058</v>
      </c>
      <c r="C934" s="3" t="s">
        <v>900</v>
      </c>
      <c r="D934" s="3" t="s">
        <v>1059</v>
      </c>
      <c r="E934" s="3" t="s">
        <v>1060</v>
      </c>
      <c r="F934" s="3" t="s">
        <v>38</v>
      </c>
      <c r="G934" s="3" t="s">
        <v>1061</v>
      </c>
      <c r="H934" s="3" t="s">
        <v>16</v>
      </c>
      <c r="I934" s="3" t="s">
        <v>1062</v>
      </c>
    </row>
    <row r="935" spans="1:9">
      <c r="A935" s="3" t="s">
        <v>629</v>
      </c>
      <c r="B935" s="3" t="s">
        <v>1017</v>
      </c>
      <c r="C935" s="3" t="s">
        <v>900</v>
      </c>
      <c r="D935" s="3" t="s">
        <v>36</v>
      </c>
      <c r="E935" s="3" t="s">
        <v>1074</v>
      </c>
      <c r="F935" s="3" t="s">
        <v>38</v>
      </c>
      <c r="G935" s="3" t="s">
        <v>1075</v>
      </c>
      <c r="H935" s="3" t="s">
        <v>16</v>
      </c>
      <c r="I935" s="3" t="s">
        <v>1076</v>
      </c>
    </row>
    <row r="936" spans="1:9">
      <c r="A936" s="3" t="s">
        <v>629</v>
      </c>
      <c r="B936" s="3" t="s">
        <v>1077</v>
      </c>
      <c r="C936" s="3" t="s">
        <v>900</v>
      </c>
      <c r="D936" s="3" t="s">
        <v>358</v>
      </c>
      <c r="E936" s="3" t="s">
        <v>1078</v>
      </c>
      <c r="F936" s="3" t="s">
        <v>38</v>
      </c>
      <c r="G936" s="3" t="s">
        <v>1079</v>
      </c>
      <c r="H936" s="3" t="s">
        <v>16</v>
      </c>
      <c r="I936" s="3" t="s">
        <v>1080</v>
      </c>
    </row>
    <row r="937" spans="1:9">
      <c r="A937" s="3" t="s">
        <v>629</v>
      </c>
      <c r="B937" s="3" t="s">
        <v>1021</v>
      </c>
      <c r="C937" s="3" t="s">
        <v>900</v>
      </c>
      <c r="D937" s="3" t="s">
        <v>219</v>
      </c>
      <c r="E937" s="3" t="s">
        <v>1081</v>
      </c>
      <c r="F937" s="3" t="s">
        <v>14</v>
      </c>
      <c r="G937" s="3" t="s">
        <v>1082</v>
      </c>
      <c r="H937" s="3" t="s">
        <v>16</v>
      </c>
      <c r="I937" s="3" t="s">
        <v>1083</v>
      </c>
    </row>
    <row r="938" spans="1:9">
      <c r="A938" s="3" t="s">
        <v>629</v>
      </c>
      <c r="B938" s="3" t="s">
        <v>1084</v>
      </c>
      <c r="C938" s="3" t="s">
        <v>900</v>
      </c>
      <c r="D938" s="3" t="s">
        <v>358</v>
      </c>
      <c r="E938" s="3" t="s">
        <v>1085</v>
      </c>
      <c r="F938" s="3" t="s">
        <v>38</v>
      </c>
      <c r="G938" s="3" t="s">
        <v>1086</v>
      </c>
      <c r="H938" s="3" t="s">
        <v>16</v>
      </c>
      <c r="I938" s="3" t="s">
        <v>1087</v>
      </c>
    </row>
    <row r="939" spans="1:9">
      <c r="A939" s="3" t="s">
        <v>629</v>
      </c>
      <c r="B939" s="3" t="s">
        <v>1091</v>
      </c>
      <c r="C939" s="3" t="s">
        <v>900</v>
      </c>
      <c r="D939" s="3" t="s">
        <v>837</v>
      </c>
      <c r="E939" s="3" t="s">
        <v>1092</v>
      </c>
      <c r="F939" s="3" t="s">
        <v>38</v>
      </c>
      <c r="G939" s="3" t="s">
        <v>1093</v>
      </c>
      <c r="H939" s="3" t="s">
        <v>16</v>
      </c>
      <c r="I939" s="3" t="s">
        <v>1094</v>
      </c>
    </row>
    <row r="940" spans="1:9">
      <c r="A940" s="3" t="s">
        <v>629</v>
      </c>
      <c r="B940" s="3" t="s">
        <v>1097</v>
      </c>
      <c r="C940" s="3" t="s">
        <v>900</v>
      </c>
      <c r="D940" s="3" t="s">
        <v>1098</v>
      </c>
      <c r="E940" s="3" t="s">
        <v>1099</v>
      </c>
      <c r="F940" s="3" t="s">
        <v>38</v>
      </c>
      <c r="G940" s="3" t="s">
        <v>1100</v>
      </c>
      <c r="H940" s="3" t="s">
        <v>16</v>
      </c>
      <c r="I940" s="3" t="s">
        <v>1101</v>
      </c>
    </row>
    <row r="941" spans="1:9">
      <c r="A941" s="3" t="s">
        <v>629</v>
      </c>
      <c r="B941" s="3" t="s">
        <v>1107</v>
      </c>
      <c r="C941" s="3" t="s">
        <v>900</v>
      </c>
      <c r="D941" s="3" t="s">
        <v>173</v>
      </c>
      <c r="E941" s="3" t="s">
        <v>1108</v>
      </c>
      <c r="F941" s="3" t="s">
        <v>38</v>
      </c>
      <c r="G941" s="3" t="s">
        <v>1109</v>
      </c>
      <c r="H941" s="3" t="s">
        <v>323</v>
      </c>
      <c r="I941" s="3" t="s">
        <v>1110</v>
      </c>
    </row>
    <row r="942" spans="1:9">
      <c r="A942" s="3" t="s">
        <v>629</v>
      </c>
      <c r="B942" s="3" t="s">
        <v>1013</v>
      </c>
      <c r="C942" s="3" t="s">
        <v>900</v>
      </c>
      <c r="D942" s="3" t="s">
        <v>640</v>
      </c>
      <c r="E942" s="3" t="s">
        <v>1111</v>
      </c>
      <c r="F942" s="3" t="s">
        <v>38</v>
      </c>
      <c r="G942" s="3" t="s">
        <v>1112</v>
      </c>
      <c r="H942" s="3" t="s">
        <v>16</v>
      </c>
      <c r="I942" s="3" t="s">
        <v>1113</v>
      </c>
    </row>
    <row r="943" spans="1:9">
      <c r="A943" s="3" t="s">
        <v>629</v>
      </c>
      <c r="B943" s="3" t="s">
        <v>1122</v>
      </c>
      <c r="C943" s="3" t="s">
        <v>900</v>
      </c>
      <c r="D943" s="3" t="s">
        <v>1123</v>
      </c>
      <c r="E943" s="3" t="s">
        <v>1124</v>
      </c>
      <c r="F943" s="3" t="s">
        <v>38</v>
      </c>
      <c r="G943" s="3" t="s">
        <v>1079</v>
      </c>
      <c r="H943" s="3" t="s">
        <v>16</v>
      </c>
      <c r="I943" s="3" t="s">
        <v>1125</v>
      </c>
    </row>
    <row r="944" spans="1:9">
      <c r="A944" s="3" t="s">
        <v>629</v>
      </c>
      <c r="B944" s="3" t="s">
        <v>1130</v>
      </c>
      <c r="C944" s="3" t="s">
        <v>900</v>
      </c>
      <c r="D944" s="3" t="s">
        <v>553</v>
      </c>
      <c r="E944" s="3" t="s">
        <v>1131</v>
      </c>
      <c r="F944" s="3" t="s">
        <v>38</v>
      </c>
      <c r="G944" s="3" t="s">
        <v>433</v>
      </c>
      <c r="H944" s="3" t="s">
        <v>16</v>
      </c>
      <c r="I944" s="3" t="s">
        <v>1132</v>
      </c>
    </row>
    <row r="945" spans="1:9">
      <c r="A945" s="3" t="s">
        <v>629</v>
      </c>
      <c r="B945" s="3" t="s">
        <v>1133</v>
      </c>
      <c r="C945" s="3" t="s">
        <v>900</v>
      </c>
      <c r="D945" s="3" t="s">
        <v>239</v>
      </c>
      <c r="E945" s="3" t="s">
        <v>1134</v>
      </c>
      <c r="F945" s="3" t="s">
        <v>38</v>
      </c>
      <c r="G945" s="3" t="s">
        <v>1135</v>
      </c>
      <c r="H945" s="3" t="s">
        <v>16</v>
      </c>
      <c r="I945" s="3" t="s">
        <v>1136</v>
      </c>
    </row>
    <row r="946" spans="1:9">
      <c r="A946" s="3" t="s">
        <v>629</v>
      </c>
      <c r="B946" s="3" t="s">
        <v>1137</v>
      </c>
      <c r="C946" s="3" t="s">
        <v>900</v>
      </c>
      <c r="D946" s="3" t="s">
        <v>1138</v>
      </c>
      <c r="E946" s="3" t="s">
        <v>1139</v>
      </c>
      <c r="F946" s="3" t="s">
        <v>38</v>
      </c>
      <c r="G946" s="3" t="s">
        <v>1140</v>
      </c>
      <c r="H946" s="3" t="s">
        <v>323</v>
      </c>
      <c r="I946" s="3" t="s">
        <v>1141</v>
      </c>
    </row>
    <row r="947" spans="1:9">
      <c r="A947" s="3" t="s">
        <v>629</v>
      </c>
      <c r="B947" s="3" t="s">
        <v>1137</v>
      </c>
      <c r="C947" s="3" t="s">
        <v>900</v>
      </c>
      <c r="D947" s="3" t="s">
        <v>1147</v>
      </c>
      <c r="E947" s="3" t="s">
        <v>766</v>
      </c>
      <c r="F947" s="3" t="s">
        <v>217</v>
      </c>
      <c r="G947" s="3" t="s">
        <v>1148</v>
      </c>
      <c r="H947" s="3" t="s">
        <v>323</v>
      </c>
      <c r="I947" s="3" t="s">
        <v>1149</v>
      </c>
    </row>
    <row r="948" spans="1:9">
      <c r="A948" s="3" t="s">
        <v>629</v>
      </c>
      <c r="B948" s="3" t="s">
        <v>1150</v>
      </c>
      <c r="C948" s="3" t="s">
        <v>900</v>
      </c>
      <c r="D948" s="3" t="s">
        <v>837</v>
      </c>
      <c r="E948" s="3" t="s">
        <v>1151</v>
      </c>
      <c r="F948" s="3" t="s">
        <v>38</v>
      </c>
      <c r="G948" s="3" t="s">
        <v>1152</v>
      </c>
      <c r="H948" s="3" t="s">
        <v>16</v>
      </c>
      <c r="I948" s="3" t="s">
        <v>1153</v>
      </c>
    </row>
    <row r="949" spans="1:9">
      <c r="A949" s="3" t="s">
        <v>629</v>
      </c>
      <c r="B949" s="3" t="s">
        <v>1193</v>
      </c>
      <c r="C949" s="3" t="s">
        <v>900</v>
      </c>
      <c r="D949" s="3" t="s">
        <v>439</v>
      </c>
      <c r="E949" s="3" t="s">
        <v>439</v>
      </c>
      <c r="F949" s="3" t="s">
        <v>217</v>
      </c>
      <c r="G949" s="3" t="s">
        <v>439</v>
      </c>
      <c r="H949" s="3" t="s">
        <v>16</v>
      </c>
      <c r="I949" s="3" t="s">
        <v>1194</v>
      </c>
    </row>
    <row r="950" spans="1:9">
      <c r="A950" s="3" t="s">
        <v>629</v>
      </c>
      <c r="B950" s="3" t="s">
        <v>983</v>
      </c>
      <c r="C950" s="3" t="s">
        <v>900</v>
      </c>
      <c r="D950" s="3" t="s">
        <v>239</v>
      </c>
      <c r="E950" s="3" t="s">
        <v>1195</v>
      </c>
      <c r="F950" s="3" t="s">
        <v>38</v>
      </c>
      <c r="G950" s="3" t="s">
        <v>472</v>
      </c>
      <c r="H950" s="3" t="s">
        <v>16</v>
      </c>
      <c r="I950" s="3" t="s">
        <v>1196</v>
      </c>
    </row>
    <row r="951" spans="1:9">
      <c r="A951" s="3" t="s">
        <v>629</v>
      </c>
      <c r="B951" s="3" t="s">
        <v>1197</v>
      </c>
      <c r="C951" s="3" t="s">
        <v>900</v>
      </c>
      <c r="D951" s="3" t="s">
        <v>483</v>
      </c>
      <c r="E951" s="3" t="s">
        <v>1198</v>
      </c>
      <c r="F951" s="3" t="s">
        <v>217</v>
      </c>
      <c r="G951" s="3" t="s">
        <v>1027</v>
      </c>
      <c r="H951" s="3" t="s">
        <v>16</v>
      </c>
      <c r="I951" s="3" t="s">
        <v>1199</v>
      </c>
    </row>
    <row r="952" spans="1:9">
      <c r="A952" s="3" t="s">
        <v>629</v>
      </c>
      <c r="B952" s="3" t="s">
        <v>1004</v>
      </c>
      <c r="C952" s="3" t="s">
        <v>900</v>
      </c>
      <c r="D952" s="3" t="s">
        <v>732</v>
      </c>
      <c r="E952" s="3" t="s">
        <v>1200</v>
      </c>
      <c r="F952" s="3" t="s">
        <v>217</v>
      </c>
      <c r="G952" s="3" t="s">
        <v>1201</v>
      </c>
      <c r="H952" s="3" t="s">
        <v>16</v>
      </c>
      <c r="I952" s="3" t="s">
        <v>1202</v>
      </c>
    </row>
    <row r="953" spans="1:9">
      <c r="A953" s="3" t="s">
        <v>629</v>
      </c>
      <c r="B953" s="3" t="s">
        <v>1009</v>
      </c>
      <c r="C953" s="3" t="s">
        <v>900</v>
      </c>
      <c r="D953" s="3" t="s">
        <v>165</v>
      </c>
      <c r="E953" s="3" t="s">
        <v>182</v>
      </c>
      <c r="F953" s="3" t="s">
        <v>217</v>
      </c>
      <c r="G953" s="3" t="s">
        <v>1203</v>
      </c>
      <c r="H953" s="3" t="s">
        <v>16</v>
      </c>
      <c r="I953" s="3" t="s">
        <v>1204</v>
      </c>
    </row>
    <row r="954" spans="1:9">
      <c r="A954" s="3" t="s">
        <v>629</v>
      </c>
      <c r="B954" s="3" t="s">
        <v>1009</v>
      </c>
      <c r="C954" s="3" t="s">
        <v>900</v>
      </c>
      <c r="D954" s="3" t="s">
        <v>1205</v>
      </c>
      <c r="E954" s="3" t="s">
        <v>1206</v>
      </c>
      <c r="F954" s="3" t="s">
        <v>217</v>
      </c>
      <c r="G954" s="3" t="s">
        <v>1207</v>
      </c>
      <c r="H954" s="3" t="s">
        <v>16</v>
      </c>
      <c r="I954" s="3" t="s">
        <v>1208</v>
      </c>
    </row>
    <row r="955" spans="1:9">
      <c r="A955" s="3" t="s">
        <v>629</v>
      </c>
      <c r="B955" s="3" t="s">
        <v>955</v>
      </c>
      <c r="C955" s="3" t="s">
        <v>900</v>
      </c>
      <c r="D955" s="3" t="s">
        <v>989</v>
      </c>
      <c r="E955" s="3" t="s">
        <v>1209</v>
      </c>
      <c r="F955" s="3" t="s">
        <v>217</v>
      </c>
      <c r="G955" s="3" t="s">
        <v>1210</v>
      </c>
      <c r="H955" s="3" t="s">
        <v>16</v>
      </c>
      <c r="I955" s="3" t="s">
        <v>1211</v>
      </c>
    </row>
    <row r="956" spans="1:9">
      <c r="A956" s="3" t="s">
        <v>629</v>
      </c>
      <c r="B956" s="3" t="s">
        <v>1212</v>
      </c>
      <c r="C956" s="3" t="s">
        <v>900</v>
      </c>
      <c r="D956" s="3" t="s">
        <v>313</v>
      </c>
      <c r="E956" s="3" t="s">
        <v>1213</v>
      </c>
      <c r="F956" s="3" t="s">
        <v>217</v>
      </c>
      <c r="G956" s="3" t="s">
        <v>1214</v>
      </c>
      <c r="H956" s="3" t="s">
        <v>16</v>
      </c>
      <c r="I956" s="3" t="s">
        <v>1215</v>
      </c>
    </row>
    <row r="957" spans="1:9">
      <c r="A957" s="3" t="s">
        <v>629</v>
      </c>
      <c r="B957" s="3" t="s">
        <v>1219</v>
      </c>
      <c r="C957" s="3" t="s">
        <v>900</v>
      </c>
      <c r="D957" s="3" t="s">
        <v>723</v>
      </c>
      <c r="E957" s="3" t="s">
        <v>1220</v>
      </c>
      <c r="F957" s="3" t="s">
        <v>217</v>
      </c>
      <c r="G957" s="3" t="s">
        <v>1221</v>
      </c>
      <c r="H957" s="3" t="s">
        <v>16</v>
      </c>
      <c r="I957" s="3" t="s">
        <v>1222</v>
      </c>
    </row>
    <row r="958" spans="1:9">
      <c r="A958" s="3" t="s">
        <v>629</v>
      </c>
      <c r="B958" s="3" t="s">
        <v>1223</v>
      </c>
      <c r="C958" s="3" t="s">
        <v>900</v>
      </c>
      <c r="D958" s="3" t="s">
        <v>1224</v>
      </c>
      <c r="E958" s="3" t="s">
        <v>1225</v>
      </c>
      <c r="F958" s="3" t="s">
        <v>217</v>
      </c>
      <c r="G958" s="3" t="s">
        <v>1226</v>
      </c>
      <c r="H958" s="3" t="s">
        <v>16</v>
      </c>
      <c r="I958" s="3" t="s">
        <v>1227</v>
      </c>
    </row>
    <row r="959" spans="1:9">
      <c r="A959" s="3" t="s">
        <v>629</v>
      </c>
      <c r="B959" s="3" t="s">
        <v>931</v>
      </c>
      <c r="C959" s="3" t="s">
        <v>900</v>
      </c>
      <c r="D959" s="3" t="s">
        <v>1228</v>
      </c>
      <c r="E959" s="3" t="s">
        <v>1229</v>
      </c>
      <c r="F959" s="3" t="s">
        <v>217</v>
      </c>
      <c r="G959" s="3" t="s">
        <v>1040</v>
      </c>
      <c r="H959" s="3" t="s">
        <v>16</v>
      </c>
      <c r="I959" s="3" t="s">
        <v>1230</v>
      </c>
    </row>
    <row r="960" spans="1:9">
      <c r="A960" s="3" t="s">
        <v>629</v>
      </c>
      <c r="B960" s="3" t="s">
        <v>1235</v>
      </c>
      <c r="C960" s="3" t="s">
        <v>900</v>
      </c>
      <c r="D960" s="3" t="s">
        <v>41</v>
      </c>
      <c r="E960" s="3" t="s">
        <v>1236</v>
      </c>
      <c r="F960" s="3" t="s">
        <v>217</v>
      </c>
      <c r="G960" s="3" t="s">
        <v>1237</v>
      </c>
      <c r="H960" s="3" t="s">
        <v>16</v>
      </c>
      <c r="I960" s="3" t="s">
        <v>1238</v>
      </c>
    </row>
    <row r="961" spans="1:9">
      <c r="A961" s="3" t="s">
        <v>629</v>
      </c>
      <c r="B961" s="3" t="s">
        <v>1239</v>
      </c>
      <c r="C961" s="3" t="s">
        <v>900</v>
      </c>
      <c r="D961" s="3" t="s">
        <v>1240</v>
      </c>
      <c r="E961" s="3" t="s">
        <v>1241</v>
      </c>
      <c r="F961" s="3" t="s">
        <v>217</v>
      </c>
      <c r="G961" s="3" t="s">
        <v>1242</v>
      </c>
      <c r="H961" s="3" t="s">
        <v>16</v>
      </c>
      <c r="I961" s="3" t="s">
        <v>1243</v>
      </c>
    </row>
    <row r="962" spans="1:9">
      <c r="A962" s="3" t="s">
        <v>629</v>
      </c>
      <c r="B962" s="3" t="s">
        <v>1244</v>
      </c>
      <c r="C962" s="3" t="s">
        <v>900</v>
      </c>
      <c r="D962" s="3" t="s">
        <v>1216</v>
      </c>
      <c r="E962" s="3" t="s">
        <v>1245</v>
      </c>
      <c r="F962" s="3" t="s">
        <v>217</v>
      </c>
      <c r="G962" s="3" t="s">
        <v>1145</v>
      </c>
      <c r="H962" s="3" t="s">
        <v>16</v>
      </c>
      <c r="I962" s="3" t="s">
        <v>1246</v>
      </c>
    </row>
    <row r="963" spans="1:9">
      <c r="A963" s="3" t="s">
        <v>629</v>
      </c>
      <c r="B963" s="3" t="s">
        <v>1247</v>
      </c>
      <c r="C963" s="3" t="s">
        <v>900</v>
      </c>
      <c r="D963" s="3" t="s">
        <v>1248</v>
      </c>
      <c r="E963" s="3" t="s">
        <v>1249</v>
      </c>
      <c r="F963" s="3" t="s">
        <v>217</v>
      </c>
      <c r="G963" s="3" t="s">
        <v>511</v>
      </c>
      <c r="H963" s="3" t="s">
        <v>16</v>
      </c>
      <c r="I963" s="3" t="s">
        <v>1250</v>
      </c>
    </row>
    <row r="964" spans="1:9">
      <c r="A964" s="3" t="s">
        <v>629</v>
      </c>
      <c r="B964" s="3" t="s">
        <v>1251</v>
      </c>
      <c r="C964" s="3" t="s">
        <v>900</v>
      </c>
      <c r="D964" s="3" t="s">
        <v>1252</v>
      </c>
      <c r="E964" s="3" t="s">
        <v>1253</v>
      </c>
      <c r="F964" s="3" t="s">
        <v>217</v>
      </c>
      <c r="G964" s="3" t="s">
        <v>1254</v>
      </c>
      <c r="H964" s="3" t="s">
        <v>16</v>
      </c>
      <c r="I964" s="3" t="s">
        <v>1255</v>
      </c>
    </row>
    <row r="965" spans="1:9">
      <c r="A965" s="3" t="s">
        <v>629</v>
      </c>
      <c r="B965" s="3" t="s">
        <v>1290</v>
      </c>
      <c r="C965" s="3" t="s">
        <v>900</v>
      </c>
      <c r="D965" s="3" t="s">
        <v>173</v>
      </c>
      <c r="E965" s="3" t="s">
        <v>1291</v>
      </c>
      <c r="F965" s="3" t="s">
        <v>38</v>
      </c>
      <c r="G965" s="3" t="s">
        <v>620</v>
      </c>
      <c r="H965" s="3" t="s">
        <v>16</v>
      </c>
      <c r="I965" s="3" t="s">
        <v>1292</v>
      </c>
    </row>
    <row r="966" spans="1:9">
      <c r="A966" s="3" t="s">
        <v>629</v>
      </c>
      <c r="B966" s="3" t="s">
        <v>1293</v>
      </c>
      <c r="C966" s="3" t="s">
        <v>900</v>
      </c>
      <c r="D966" s="3" t="s">
        <v>1294</v>
      </c>
      <c r="E966" s="3" t="s">
        <v>1295</v>
      </c>
      <c r="F966" s="3" t="s">
        <v>217</v>
      </c>
      <c r="G966" s="3" t="s">
        <v>1296</v>
      </c>
      <c r="H966" s="3" t="s">
        <v>16</v>
      </c>
      <c r="I966" s="3" t="s">
        <v>1297</v>
      </c>
    </row>
    <row r="967" spans="1:9">
      <c r="A967" s="3" t="s">
        <v>629</v>
      </c>
      <c r="B967" s="3" t="s">
        <v>1013</v>
      </c>
      <c r="C967" s="3" t="s">
        <v>900</v>
      </c>
      <c r="D967" s="3" t="s">
        <v>26</v>
      </c>
      <c r="E967" s="3" t="s">
        <v>1298</v>
      </c>
      <c r="F967" s="3" t="s">
        <v>217</v>
      </c>
      <c r="G967" s="3" t="s">
        <v>1299</v>
      </c>
      <c r="H967" s="3" t="s">
        <v>16</v>
      </c>
      <c r="I967" s="3" t="s">
        <v>1300</v>
      </c>
    </row>
    <row r="968" spans="1:9">
      <c r="A968" s="3" t="s">
        <v>629</v>
      </c>
      <c r="B968" s="3" t="s">
        <v>1244</v>
      </c>
      <c r="C968" s="3" t="s">
        <v>900</v>
      </c>
      <c r="D968" s="3" t="s">
        <v>1301</v>
      </c>
      <c r="E968" s="3" t="s">
        <v>1302</v>
      </c>
      <c r="F968" s="3" t="s">
        <v>217</v>
      </c>
      <c r="G968" s="3" t="s">
        <v>1303</v>
      </c>
      <c r="H968" s="3" t="s">
        <v>16</v>
      </c>
      <c r="I968" s="3" t="s">
        <v>1304</v>
      </c>
    </row>
    <row r="969" spans="1:9">
      <c r="A969" s="3" t="s">
        <v>629</v>
      </c>
      <c r="B969" s="3" t="s">
        <v>1223</v>
      </c>
      <c r="C969" s="3" t="s">
        <v>900</v>
      </c>
      <c r="D969" s="3" t="s">
        <v>1305</v>
      </c>
      <c r="E969" s="3" t="s">
        <v>1306</v>
      </c>
      <c r="F969" s="3" t="s">
        <v>38</v>
      </c>
      <c r="G969" s="3" t="s">
        <v>1307</v>
      </c>
      <c r="H969" s="3" t="s">
        <v>16</v>
      </c>
      <c r="I969" s="3" t="s">
        <v>1308</v>
      </c>
    </row>
    <row r="970" spans="1:9">
      <c r="A970" s="3" t="s">
        <v>629</v>
      </c>
      <c r="B970" s="3" t="s">
        <v>1244</v>
      </c>
      <c r="C970" s="3" t="s">
        <v>900</v>
      </c>
      <c r="D970" s="3" t="s">
        <v>282</v>
      </c>
      <c r="E970" s="3" t="s">
        <v>1322</v>
      </c>
      <c r="F970" s="3" t="s">
        <v>38</v>
      </c>
      <c r="G970" s="3" t="s">
        <v>1323</v>
      </c>
      <c r="H970" s="3" t="s">
        <v>16</v>
      </c>
      <c r="I970" s="3" t="s">
        <v>1324</v>
      </c>
    </row>
    <row r="971" spans="1:9">
      <c r="A971" s="3" t="s">
        <v>629</v>
      </c>
      <c r="B971" s="3" t="s">
        <v>1137</v>
      </c>
      <c r="C971" s="3" t="s">
        <v>900</v>
      </c>
      <c r="D971" s="3" t="s">
        <v>95</v>
      </c>
      <c r="E971" s="3" t="s">
        <v>1375</v>
      </c>
      <c r="F971" s="3" t="s">
        <v>38</v>
      </c>
      <c r="G971" s="3" t="s">
        <v>1140</v>
      </c>
      <c r="H971" s="3" t="s">
        <v>16</v>
      </c>
      <c r="I971" s="3" t="s">
        <v>1376</v>
      </c>
    </row>
    <row r="972" spans="1:9">
      <c r="A972" s="3" t="s">
        <v>629</v>
      </c>
      <c r="B972" s="3" t="s">
        <v>1137</v>
      </c>
      <c r="C972" s="3" t="s">
        <v>900</v>
      </c>
      <c r="D972" s="3" t="s">
        <v>420</v>
      </c>
      <c r="E972" s="3" t="s">
        <v>1124</v>
      </c>
      <c r="F972" s="3" t="s">
        <v>38</v>
      </c>
      <c r="G972" s="3" t="s">
        <v>1377</v>
      </c>
      <c r="H972" s="3" t="s">
        <v>16</v>
      </c>
      <c r="I972" s="3" t="s">
        <v>1378</v>
      </c>
    </row>
    <row r="973" spans="1:9">
      <c r="A973" s="3" t="s">
        <v>629</v>
      </c>
      <c r="B973" s="3" t="s">
        <v>1400</v>
      </c>
      <c r="C973" s="3" t="s">
        <v>900</v>
      </c>
      <c r="D973" s="3" t="s">
        <v>358</v>
      </c>
      <c r="E973" s="3" t="s">
        <v>1401</v>
      </c>
      <c r="F973" s="3" t="s">
        <v>38</v>
      </c>
      <c r="G973" s="3" t="s">
        <v>433</v>
      </c>
      <c r="H973" s="3" t="s">
        <v>16</v>
      </c>
      <c r="I973" s="3" t="s">
        <v>1402</v>
      </c>
    </row>
    <row r="974" spans="1:9">
      <c r="A974" s="3" t="s">
        <v>629</v>
      </c>
      <c r="B974" s="3" t="s">
        <v>983</v>
      </c>
      <c r="C974" s="3" t="s">
        <v>900</v>
      </c>
      <c r="D974" s="3" t="s">
        <v>1240</v>
      </c>
      <c r="E974" s="3" t="s">
        <v>1403</v>
      </c>
      <c r="F974" s="3" t="s">
        <v>38</v>
      </c>
      <c r="G974" s="3" t="s">
        <v>288</v>
      </c>
      <c r="H974" s="3" t="s">
        <v>16</v>
      </c>
      <c r="I974" s="3" t="s">
        <v>1404</v>
      </c>
    </row>
    <row r="975" spans="1:9">
      <c r="A975" s="3" t="s">
        <v>629</v>
      </c>
      <c r="B975" s="3" t="s">
        <v>1405</v>
      </c>
      <c r="C975" s="3" t="s">
        <v>900</v>
      </c>
      <c r="D975" s="3" t="s">
        <v>1406</v>
      </c>
      <c r="E975" s="3" t="s">
        <v>1407</v>
      </c>
      <c r="F975" s="3" t="s">
        <v>38</v>
      </c>
      <c r="G975" s="3" t="s">
        <v>1408</v>
      </c>
      <c r="H975" s="3" t="s">
        <v>16</v>
      </c>
      <c r="I975" s="3" t="s">
        <v>1409</v>
      </c>
    </row>
    <row r="976" spans="1:9">
      <c r="A976" s="3" t="s">
        <v>629</v>
      </c>
      <c r="B976" s="3" t="s">
        <v>1133</v>
      </c>
      <c r="C976" s="3" t="s">
        <v>900</v>
      </c>
      <c r="D976" s="3" t="s">
        <v>173</v>
      </c>
      <c r="E976" s="3" t="s">
        <v>1410</v>
      </c>
      <c r="F976" s="3" t="s">
        <v>38</v>
      </c>
      <c r="G976" s="3" t="s">
        <v>1411</v>
      </c>
      <c r="H976" s="3" t="s">
        <v>16</v>
      </c>
      <c r="I976" s="3" t="s">
        <v>1412</v>
      </c>
    </row>
    <row r="977" spans="1:9">
      <c r="A977" s="3" t="s">
        <v>629</v>
      </c>
      <c r="B977" s="3" t="s">
        <v>1133</v>
      </c>
      <c r="C977" s="3" t="s">
        <v>900</v>
      </c>
      <c r="D977" s="3" t="s">
        <v>1413</v>
      </c>
      <c r="E977" s="3" t="s">
        <v>1414</v>
      </c>
      <c r="F977" s="3" t="s">
        <v>38</v>
      </c>
      <c r="G977" s="3" t="s">
        <v>1415</v>
      </c>
      <c r="H977" s="3" t="s">
        <v>16</v>
      </c>
      <c r="I977" s="3" t="s">
        <v>1416</v>
      </c>
    </row>
    <row r="978" spans="1:9">
      <c r="A978" s="3" t="s">
        <v>629</v>
      </c>
      <c r="B978" s="3" t="s">
        <v>1417</v>
      </c>
      <c r="C978" s="3" t="s">
        <v>900</v>
      </c>
      <c r="D978" s="3" t="s">
        <v>1418</v>
      </c>
      <c r="E978" s="3" t="s">
        <v>1419</v>
      </c>
      <c r="F978" s="3" t="s">
        <v>38</v>
      </c>
      <c r="G978" s="3" t="s">
        <v>506</v>
      </c>
      <c r="H978" s="3" t="s">
        <v>16</v>
      </c>
      <c r="I978" s="3" t="s">
        <v>1420</v>
      </c>
    </row>
    <row r="979" spans="1:9">
      <c r="A979" s="3" t="s">
        <v>629</v>
      </c>
      <c r="B979" s="3" t="s">
        <v>1130</v>
      </c>
      <c r="C979" s="3" t="s">
        <v>900</v>
      </c>
      <c r="D979" s="3" t="s">
        <v>116</v>
      </c>
      <c r="E979" s="3" t="s">
        <v>1421</v>
      </c>
      <c r="F979" s="3" t="s">
        <v>38</v>
      </c>
      <c r="G979" s="3" t="s">
        <v>1422</v>
      </c>
      <c r="H979" s="3" t="s">
        <v>16</v>
      </c>
      <c r="I979" s="3" t="s">
        <v>1423</v>
      </c>
    </row>
    <row r="980" spans="1:9">
      <c r="A980" s="3" t="s">
        <v>629</v>
      </c>
      <c r="B980" s="3" t="s">
        <v>1130</v>
      </c>
      <c r="C980" s="3" t="s">
        <v>900</v>
      </c>
      <c r="D980" s="3" t="s">
        <v>173</v>
      </c>
      <c r="E980" s="3" t="s">
        <v>1424</v>
      </c>
      <c r="F980" s="3" t="s">
        <v>38</v>
      </c>
      <c r="G980" s="3" t="s">
        <v>620</v>
      </c>
      <c r="H980" s="3" t="s">
        <v>16</v>
      </c>
      <c r="I980" s="3" t="s">
        <v>1425</v>
      </c>
    </row>
    <row r="981" spans="1:9">
      <c r="A981" s="3" t="s">
        <v>629</v>
      </c>
      <c r="B981" s="3" t="s">
        <v>1130</v>
      </c>
      <c r="C981" s="3" t="s">
        <v>900</v>
      </c>
      <c r="D981" s="3" t="s">
        <v>447</v>
      </c>
      <c r="E981" s="3" t="s">
        <v>182</v>
      </c>
      <c r="F981" s="3" t="s">
        <v>38</v>
      </c>
      <c r="G981" s="3" t="s">
        <v>1426</v>
      </c>
      <c r="H981" s="3" t="s">
        <v>16</v>
      </c>
      <c r="I981" s="3" t="s">
        <v>1427</v>
      </c>
    </row>
    <row r="982" spans="1:9">
      <c r="A982" s="3" t="s">
        <v>629</v>
      </c>
      <c r="B982" s="3" t="s">
        <v>1290</v>
      </c>
      <c r="C982" s="3" t="s">
        <v>900</v>
      </c>
      <c r="D982" s="3" t="s">
        <v>659</v>
      </c>
      <c r="E982" s="3" t="s">
        <v>1428</v>
      </c>
      <c r="F982" s="3" t="s">
        <v>38</v>
      </c>
      <c r="G982" s="3" t="s">
        <v>1429</v>
      </c>
      <c r="H982" s="3" t="s">
        <v>16</v>
      </c>
      <c r="I982" s="3" t="s">
        <v>1430</v>
      </c>
    </row>
    <row r="983" spans="1:9">
      <c r="A983" s="3" t="s">
        <v>629</v>
      </c>
      <c r="B983" s="3" t="s">
        <v>1097</v>
      </c>
      <c r="C983" s="3" t="s">
        <v>900</v>
      </c>
      <c r="D983" s="3" t="s">
        <v>522</v>
      </c>
      <c r="E983" s="3" t="s">
        <v>1434</v>
      </c>
      <c r="F983" s="3" t="s">
        <v>38</v>
      </c>
      <c r="G983" s="3" t="s">
        <v>1435</v>
      </c>
      <c r="H983" s="3" t="s">
        <v>16</v>
      </c>
      <c r="I983" s="3" t="s">
        <v>1436</v>
      </c>
    </row>
    <row r="984" spans="1:9">
      <c r="A984" s="3" t="s">
        <v>629</v>
      </c>
      <c r="B984" s="3" t="s">
        <v>1084</v>
      </c>
      <c r="C984" s="3" t="s">
        <v>900</v>
      </c>
      <c r="D984" s="3" t="s">
        <v>228</v>
      </c>
      <c r="E984" s="3" t="s">
        <v>1437</v>
      </c>
      <c r="F984" s="3" t="s">
        <v>38</v>
      </c>
      <c r="G984" s="3" t="s">
        <v>1438</v>
      </c>
      <c r="H984" s="3" t="s">
        <v>16</v>
      </c>
      <c r="I984" s="3" t="s">
        <v>1439</v>
      </c>
    </row>
    <row r="985" spans="1:9">
      <c r="A985" s="3" t="s">
        <v>629</v>
      </c>
      <c r="B985" s="3" t="s">
        <v>1440</v>
      </c>
      <c r="C985" s="3" t="s">
        <v>900</v>
      </c>
      <c r="D985" s="3" t="s">
        <v>1441</v>
      </c>
      <c r="E985" s="3" t="s">
        <v>1442</v>
      </c>
      <c r="F985" s="3" t="s">
        <v>38</v>
      </c>
      <c r="G985" s="3" t="s">
        <v>1443</v>
      </c>
      <c r="H985" s="3" t="s">
        <v>16</v>
      </c>
      <c r="I985" s="3" t="s">
        <v>1444</v>
      </c>
    </row>
    <row r="986" spans="1:9">
      <c r="A986" s="3" t="s">
        <v>629</v>
      </c>
      <c r="B986" s="3" t="s">
        <v>1440</v>
      </c>
      <c r="C986" s="3" t="s">
        <v>900</v>
      </c>
      <c r="D986" s="3" t="s">
        <v>1445</v>
      </c>
      <c r="E986" s="3" t="s">
        <v>1446</v>
      </c>
      <c r="F986" s="3" t="s">
        <v>38</v>
      </c>
      <c r="G986" s="3" t="s">
        <v>1447</v>
      </c>
      <c r="H986" s="3" t="s">
        <v>16</v>
      </c>
      <c r="I986" s="3" t="s">
        <v>1448</v>
      </c>
    </row>
    <row r="987" spans="1:9">
      <c r="A987" s="3" t="s">
        <v>629</v>
      </c>
      <c r="B987" s="3" t="s">
        <v>1440</v>
      </c>
      <c r="C987" s="3" t="s">
        <v>900</v>
      </c>
      <c r="D987" s="3" t="s">
        <v>1449</v>
      </c>
      <c r="E987" s="3" t="s">
        <v>1450</v>
      </c>
      <c r="F987" s="3" t="s">
        <v>38</v>
      </c>
      <c r="G987" s="3" t="s">
        <v>1451</v>
      </c>
      <c r="H987" s="3" t="s">
        <v>16</v>
      </c>
      <c r="I987" s="3" t="s">
        <v>1452</v>
      </c>
    </row>
    <row r="988" spans="1:9">
      <c r="A988" s="3" t="s">
        <v>629</v>
      </c>
      <c r="B988" s="3" t="s">
        <v>1091</v>
      </c>
      <c r="C988" s="3" t="s">
        <v>900</v>
      </c>
      <c r="D988" s="3" t="s">
        <v>1453</v>
      </c>
      <c r="E988" s="3" t="s">
        <v>1454</v>
      </c>
      <c r="F988" s="3" t="s">
        <v>38</v>
      </c>
      <c r="G988" s="3" t="s">
        <v>1438</v>
      </c>
      <c r="H988" s="3" t="s">
        <v>16</v>
      </c>
      <c r="I988" s="3" t="s">
        <v>1455</v>
      </c>
    </row>
    <row r="989" spans="1:9">
      <c r="A989" s="3" t="s">
        <v>629</v>
      </c>
      <c r="B989" s="3" t="s">
        <v>1130</v>
      </c>
      <c r="C989" s="3" t="s">
        <v>900</v>
      </c>
      <c r="D989" s="3" t="s">
        <v>659</v>
      </c>
      <c r="E989" s="3" t="s">
        <v>1456</v>
      </c>
      <c r="F989" s="3" t="s">
        <v>38</v>
      </c>
      <c r="G989" s="3" t="s">
        <v>1457</v>
      </c>
      <c r="H989" s="3" t="s">
        <v>16</v>
      </c>
      <c r="I989" s="3" t="s">
        <v>1458</v>
      </c>
    </row>
    <row r="990" spans="1:9">
      <c r="A990" s="3" t="s">
        <v>629</v>
      </c>
      <c r="B990" s="3" t="s">
        <v>1235</v>
      </c>
      <c r="C990" s="3" t="s">
        <v>900</v>
      </c>
      <c r="D990" s="3" t="s">
        <v>1470</v>
      </c>
      <c r="E990" s="3" t="s">
        <v>1471</v>
      </c>
      <c r="F990" s="3" t="s">
        <v>38</v>
      </c>
      <c r="G990" s="3" t="s">
        <v>1472</v>
      </c>
      <c r="H990" s="3" t="s">
        <v>16</v>
      </c>
      <c r="I990" s="3" t="s">
        <v>1473</v>
      </c>
    </row>
    <row r="991" spans="1:9">
      <c r="A991" s="3" t="s">
        <v>629</v>
      </c>
      <c r="B991" s="3" t="s">
        <v>1244</v>
      </c>
      <c r="C991" s="3" t="s">
        <v>900</v>
      </c>
      <c r="D991" s="3" t="s">
        <v>1474</v>
      </c>
      <c r="E991" s="3" t="s">
        <v>1475</v>
      </c>
      <c r="F991" s="3" t="s">
        <v>38</v>
      </c>
      <c r="G991" s="3" t="s">
        <v>1476</v>
      </c>
      <c r="H991" s="3" t="s">
        <v>16</v>
      </c>
      <c r="I991" s="3" t="s">
        <v>1477</v>
      </c>
    </row>
    <row r="992" spans="1:9">
      <c r="A992" s="3" t="s">
        <v>629</v>
      </c>
      <c r="B992" s="3" t="s">
        <v>1478</v>
      </c>
      <c r="C992" s="3" t="s">
        <v>900</v>
      </c>
      <c r="D992" s="3" t="s">
        <v>1479</v>
      </c>
      <c r="E992" s="3" t="s">
        <v>1480</v>
      </c>
      <c r="F992" s="3" t="s">
        <v>38</v>
      </c>
      <c r="G992" s="3" t="s">
        <v>1481</v>
      </c>
      <c r="H992" s="3" t="s">
        <v>16</v>
      </c>
      <c r="I992" s="3" t="s">
        <v>1482</v>
      </c>
    </row>
    <row r="993" spans="1:9">
      <c r="A993" s="3" t="s">
        <v>629</v>
      </c>
      <c r="B993" s="3" t="s">
        <v>1483</v>
      </c>
      <c r="C993" s="3" t="s">
        <v>900</v>
      </c>
      <c r="D993" s="3" t="s">
        <v>1484</v>
      </c>
      <c r="E993" s="3" t="s">
        <v>220</v>
      </c>
      <c r="F993" s="3" t="s">
        <v>38</v>
      </c>
      <c r="G993" s="3" t="s">
        <v>433</v>
      </c>
      <c r="H993" s="3" t="s">
        <v>16</v>
      </c>
      <c r="I993" s="3" t="s">
        <v>1485</v>
      </c>
    </row>
    <row r="994" spans="1:9">
      <c r="A994" s="3" t="s">
        <v>629</v>
      </c>
      <c r="B994" s="3" t="s">
        <v>1486</v>
      </c>
      <c r="C994" s="3" t="s">
        <v>900</v>
      </c>
      <c r="D994" s="3" t="s">
        <v>125</v>
      </c>
      <c r="E994" s="3" t="s">
        <v>1487</v>
      </c>
      <c r="F994" s="3" t="s">
        <v>38</v>
      </c>
      <c r="G994" s="3" t="s">
        <v>674</v>
      </c>
      <c r="H994" s="3" t="s">
        <v>16</v>
      </c>
      <c r="I994" s="3" t="s">
        <v>1488</v>
      </c>
    </row>
    <row r="995" spans="1:9">
      <c r="A995" s="3" t="s">
        <v>629</v>
      </c>
      <c r="B995" s="3" t="s">
        <v>1489</v>
      </c>
      <c r="C995" s="3" t="s">
        <v>900</v>
      </c>
      <c r="D995" s="3" t="s">
        <v>595</v>
      </c>
      <c r="E995" s="3" t="s">
        <v>1167</v>
      </c>
      <c r="F995" s="3" t="s">
        <v>38</v>
      </c>
      <c r="G995" s="3" t="s">
        <v>1490</v>
      </c>
      <c r="H995" s="3" t="s">
        <v>16</v>
      </c>
      <c r="I995" s="3" t="s">
        <v>1491</v>
      </c>
    </row>
    <row r="996" spans="1:9">
      <c r="A996" s="3" t="s">
        <v>629</v>
      </c>
      <c r="B996" s="3" t="s">
        <v>1492</v>
      </c>
      <c r="C996" s="3" t="s">
        <v>900</v>
      </c>
      <c r="D996" s="3" t="s">
        <v>509</v>
      </c>
      <c r="E996" s="3" t="s">
        <v>1493</v>
      </c>
      <c r="F996" s="3" t="s">
        <v>38</v>
      </c>
      <c r="G996" s="3" t="s">
        <v>1494</v>
      </c>
      <c r="H996" s="3" t="s">
        <v>16</v>
      </c>
      <c r="I996" s="3" t="s">
        <v>1495</v>
      </c>
    </row>
    <row r="997" spans="1:9">
      <c r="A997" s="3" t="s">
        <v>629</v>
      </c>
      <c r="B997" s="3" t="s">
        <v>1496</v>
      </c>
      <c r="C997" s="3" t="s">
        <v>900</v>
      </c>
      <c r="D997" s="3" t="s">
        <v>1228</v>
      </c>
      <c r="E997" s="3" t="s">
        <v>1497</v>
      </c>
      <c r="F997" s="3" t="s">
        <v>38</v>
      </c>
      <c r="G997" s="3" t="s">
        <v>433</v>
      </c>
      <c r="H997" s="3" t="s">
        <v>16</v>
      </c>
      <c r="I997" s="3" t="s">
        <v>1498</v>
      </c>
    </row>
    <row r="998" spans="1:9">
      <c r="A998" s="3" t="s">
        <v>629</v>
      </c>
      <c r="B998" s="3" t="s">
        <v>1499</v>
      </c>
      <c r="C998" s="3" t="s">
        <v>900</v>
      </c>
      <c r="D998" s="3" t="s">
        <v>1500</v>
      </c>
      <c r="E998" s="3" t="s">
        <v>1501</v>
      </c>
      <c r="F998" s="3" t="s">
        <v>38</v>
      </c>
      <c r="G998" s="3" t="s">
        <v>433</v>
      </c>
      <c r="H998" s="3" t="s">
        <v>16</v>
      </c>
      <c r="I998" s="3" t="s">
        <v>1502</v>
      </c>
    </row>
    <row r="999" spans="1:9">
      <c r="A999" s="3" t="s">
        <v>629</v>
      </c>
      <c r="B999" s="3" t="s">
        <v>1503</v>
      </c>
      <c r="C999" s="3" t="s">
        <v>900</v>
      </c>
      <c r="D999" s="3" t="s">
        <v>862</v>
      </c>
      <c r="E999" s="3" t="s">
        <v>1504</v>
      </c>
      <c r="F999" s="3" t="s">
        <v>38</v>
      </c>
      <c r="G999" s="3" t="s">
        <v>1505</v>
      </c>
      <c r="H999" s="3" t="s">
        <v>16</v>
      </c>
      <c r="I999" s="3" t="s">
        <v>1506</v>
      </c>
    </row>
    <row r="1000" spans="1:9">
      <c r="A1000" s="3" t="s">
        <v>629</v>
      </c>
      <c r="B1000" s="3" t="s">
        <v>1507</v>
      </c>
      <c r="C1000" s="3" t="s">
        <v>900</v>
      </c>
      <c r="D1000" s="3" t="s">
        <v>75</v>
      </c>
      <c r="E1000" s="3" t="s">
        <v>1508</v>
      </c>
      <c r="F1000" s="3" t="s">
        <v>38</v>
      </c>
      <c r="G1000" s="3" t="s">
        <v>433</v>
      </c>
      <c r="H1000" s="3" t="s">
        <v>16</v>
      </c>
      <c r="I1000" s="3" t="s">
        <v>1509</v>
      </c>
    </row>
    <row r="1001" spans="1:9">
      <c r="A1001" s="3" t="s">
        <v>629</v>
      </c>
      <c r="B1001" s="3" t="s">
        <v>1510</v>
      </c>
      <c r="C1001" s="3" t="s">
        <v>900</v>
      </c>
      <c r="D1001" s="3" t="s">
        <v>1511</v>
      </c>
      <c r="E1001" s="3" t="s">
        <v>1512</v>
      </c>
      <c r="F1001" s="3" t="s">
        <v>38</v>
      </c>
      <c r="G1001" s="3" t="s">
        <v>433</v>
      </c>
      <c r="H1001" s="3" t="s">
        <v>16</v>
      </c>
      <c r="I1001" s="3" t="s">
        <v>1513</v>
      </c>
    </row>
    <row r="1002" spans="1:9">
      <c r="A1002" s="3" t="s">
        <v>629</v>
      </c>
      <c r="B1002" s="3" t="s">
        <v>1514</v>
      </c>
      <c r="C1002" s="3" t="s">
        <v>900</v>
      </c>
      <c r="D1002" s="3" t="s">
        <v>228</v>
      </c>
      <c r="E1002" s="3" t="s">
        <v>1131</v>
      </c>
      <c r="F1002" s="3" t="s">
        <v>38</v>
      </c>
      <c r="G1002" s="3" t="s">
        <v>1177</v>
      </c>
      <c r="H1002" s="3" t="s">
        <v>16</v>
      </c>
      <c r="I1002" s="3" t="s">
        <v>1515</v>
      </c>
    </row>
    <row r="1003" spans="1:9">
      <c r="A1003" s="3" t="s">
        <v>629</v>
      </c>
      <c r="B1003" s="3" t="s">
        <v>1478</v>
      </c>
      <c r="C1003" s="3" t="s">
        <v>900</v>
      </c>
      <c r="D1003" s="3" t="s">
        <v>282</v>
      </c>
      <c r="E1003" s="3" t="s">
        <v>1516</v>
      </c>
      <c r="F1003" s="3" t="s">
        <v>38</v>
      </c>
      <c r="G1003" s="3" t="s">
        <v>1517</v>
      </c>
      <c r="H1003" s="3" t="s">
        <v>16</v>
      </c>
      <c r="I1003" s="3" t="s">
        <v>1518</v>
      </c>
    </row>
    <row r="1004" spans="1:9">
      <c r="A1004" s="3" t="s">
        <v>629</v>
      </c>
      <c r="B1004" s="3" t="s">
        <v>1519</v>
      </c>
      <c r="C1004" s="3" t="s">
        <v>900</v>
      </c>
      <c r="D1004" s="3" t="s">
        <v>116</v>
      </c>
      <c r="E1004" s="3" t="s">
        <v>1520</v>
      </c>
      <c r="F1004" s="3" t="s">
        <v>38</v>
      </c>
      <c r="G1004" s="3" t="s">
        <v>1521</v>
      </c>
      <c r="H1004" s="3" t="s">
        <v>16</v>
      </c>
      <c r="I1004" s="3" t="s">
        <v>1522</v>
      </c>
    </row>
    <row r="1005" spans="1:9">
      <c r="A1005" s="3" t="s">
        <v>629</v>
      </c>
      <c r="B1005" s="3" t="s">
        <v>1523</v>
      </c>
      <c r="C1005" s="3" t="s">
        <v>900</v>
      </c>
      <c r="D1005" s="3" t="s">
        <v>173</v>
      </c>
      <c r="E1005" s="3" t="s">
        <v>1524</v>
      </c>
      <c r="F1005" s="3" t="s">
        <v>38</v>
      </c>
      <c r="G1005" s="3" t="s">
        <v>890</v>
      </c>
      <c r="H1005" s="3" t="s">
        <v>16</v>
      </c>
      <c r="I1005" s="3" t="s">
        <v>1525</v>
      </c>
    </row>
    <row r="1006" spans="1:9">
      <c r="A1006" s="3" t="s">
        <v>629</v>
      </c>
      <c r="B1006" s="3" t="s">
        <v>1293</v>
      </c>
      <c r="C1006" s="3" t="s">
        <v>900</v>
      </c>
      <c r="D1006" s="3" t="s">
        <v>1526</v>
      </c>
      <c r="E1006" s="3" t="s">
        <v>1527</v>
      </c>
      <c r="F1006" s="3" t="s">
        <v>38</v>
      </c>
      <c r="G1006" s="3" t="s">
        <v>1528</v>
      </c>
      <c r="H1006" s="3" t="s">
        <v>16</v>
      </c>
      <c r="I1006" s="3" t="s">
        <v>1529</v>
      </c>
    </row>
    <row r="1007" spans="1:9">
      <c r="A1007" s="3" t="s">
        <v>629</v>
      </c>
      <c r="B1007" s="3" t="s">
        <v>1013</v>
      </c>
      <c r="C1007" s="3" t="s">
        <v>900</v>
      </c>
      <c r="D1007" s="3" t="s">
        <v>301</v>
      </c>
      <c r="E1007" s="3" t="s">
        <v>1530</v>
      </c>
      <c r="F1007" s="3" t="s">
        <v>38</v>
      </c>
      <c r="G1007" s="3" t="s">
        <v>1531</v>
      </c>
      <c r="H1007" s="3" t="s">
        <v>16</v>
      </c>
      <c r="I1007" s="3" t="s">
        <v>1532</v>
      </c>
    </row>
    <row r="1008" spans="1:9">
      <c r="A1008" s="3" t="s">
        <v>629</v>
      </c>
      <c r="B1008" s="3" t="s">
        <v>1533</v>
      </c>
      <c r="C1008" s="3" t="s">
        <v>900</v>
      </c>
      <c r="D1008" s="3" t="s">
        <v>1175</v>
      </c>
      <c r="E1008" s="3" t="s">
        <v>1534</v>
      </c>
      <c r="F1008" s="3" t="s">
        <v>217</v>
      </c>
      <c r="G1008" s="3" t="s">
        <v>1535</v>
      </c>
      <c r="H1008" s="3" t="s">
        <v>16</v>
      </c>
      <c r="I1008" s="3" t="s">
        <v>1536</v>
      </c>
    </row>
    <row r="1009" spans="1:9">
      <c r="A1009" s="3" t="s">
        <v>629</v>
      </c>
      <c r="B1009" s="3" t="s">
        <v>1251</v>
      </c>
      <c r="C1009" s="3" t="s">
        <v>900</v>
      </c>
      <c r="D1009" s="3" t="s">
        <v>316</v>
      </c>
      <c r="E1009" s="3" t="s">
        <v>1537</v>
      </c>
      <c r="F1009" s="3" t="s">
        <v>38</v>
      </c>
      <c r="G1009" s="3" t="s">
        <v>1538</v>
      </c>
      <c r="H1009" s="3" t="s">
        <v>16</v>
      </c>
      <c r="I1009" s="3" t="s">
        <v>1539</v>
      </c>
    </row>
    <row r="1010" spans="1:9">
      <c r="A1010" s="3" t="s">
        <v>629</v>
      </c>
      <c r="B1010" s="3" t="s">
        <v>1251</v>
      </c>
      <c r="C1010" s="3" t="s">
        <v>900</v>
      </c>
      <c r="D1010" s="3" t="s">
        <v>1540</v>
      </c>
      <c r="E1010" s="3" t="s">
        <v>1541</v>
      </c>
      <c r="F1010" s="3" t="s">
        <v>38</v>
      </c>
      <c r="G1010" s="3" t="s">
        <v>1542</v>
      </c>
      <c r="H1010" s="3" t="s">
        <v>16</v>
      </c>
      <c r="I1010" s="3" t="s">
        <v>1543</v>
      </c>
    </row>
    <row r="1011" spans="1:9">
      <c r="A1011" s="3" t="s">
        <v>629</v>
      </c>
      <c r="B1011" s="3" t="s">
        <v>1553</v>
      </c>
      <c r="C1011" s="3" t="s">
        <v>900</v>
      </c>
      <c r="D1011" s="3" t="s">
        <v>1554</v>
      </c>
      <c r="E1011" s="3" t="s">
        <v>1555</v>
      </c>
      <c r="F1011" s="3" t="s">
        <v>38</v>
      </c>
      <c r="G1011" s="3" t="s">
        <v>385</v>
      </c>
      <c r="H1011" s="3" t="s">
        <v>16</v>
      </c>
      <c r="I1011" s="3" t="s">
        <v>1556</v>
      </c>
    </row>
    <row r="1012" spans="1:9">
      <c r="A1012" s="3" t="s">
        <v>629</v>
      </c>
      <c r="B1012" s="3" t="s">
        <v>1553</v>
      </c>
      <c r="C1012" s="3" t="s">
        <v>900</v>
      </c>
      <c r="D1012" s="3" t="s">
        <v>1557</v>
      </c>
      <c r="E1012" s="3" t="s">
        <v>1558</v>
      </c>
      <c r="F1012" s="3" t="s">
        <v>38</v>
      </c>
      <c r="G1012" s="3" t="s">
        <v>972</v>
      </c>
      <c r="H1012" s="3" t="s">
        <v>16</v>
      </c>
      <c r="I1012" s="3" t="s">
        <v>1559</v>
      </c>
    </row>
    <row r="1013" spans="1:9">
      <c r="A1013" s="3" t="s">
        <v>629</v>
      </c>
      <c r="B1013" s="3" t="s">
        <v>1560</v>
      </c>
      <c r="C1013" s="3" t="s">
        <v>900</v>
      </c>
      <c r="D1013" s="3" t="s">
        <v>313</v>
      </c>
      <c r="E1013" s="3" t="s">
        <v>1561</v>
      </c>
      <c r="F1013" s="3" t="s">
        <v>38</v>
      </c>
      <c r="G1013" s="3" t="s">
        <v>1562</v>
      </c>
      <c r="H1013" s="3" t="s">
        <v>16</v>
      </c>
      <c r="I1013" s="3" t="s">
        <v>1563</v>
      </c>
    </row>
    <row r="1014" spans="1:9">
      <c r="A1014" s="3" t="s">
        <v>629</v>
      </c>
      <c r="B1014" s="3" t="s">
        <v>974</v>
      </c>
      <c r="C1014" s="3" t="s">
        <v>900</v>
      </c>
      <c r="D1014" s="3" t="s">
        <v>41</v>
      </c>
      <c r="E1014" s="3" t="s">
        <v>1564</v>
      </c>
      <c r="F1014" s="3" t="s">
        <v>38</v>
      </c>
      <c r="G1014" s="3" t="s">
        <v>1565</v>
      </c>
      <c r="H1014" s="3" t="s">
        <v>16</v>
      </c>
      <c r="I1014" s="3" t="s">
        <v>1566</v>
      </c>
    </row>
    <row r="1015" spans="1:9">
      <c r="A1015" s="3" t="s">
        <v>629</v>
      </c>
      <c r="B1015" s="3" t="s">
        <v>974</v>
      </c>
      <c r="C1015" s="3" t="s">
        <v>900</v>
      </c>
      <c r="D1015" s="3" t="s">
        <v>239</v>
      </c>
      <c r="E1015" s="3" t="s">
        <v>1567</v>
      </c>
      <c r="F1015" s="3" t="s">
        <v>38</v>
      </c>
      <c r="G1015" s="3" t="s">
        <v>1568</v>
      </c>
      <c r="H1015" s="3" t="s">
        <v>16</v>
      </c>
      <c r="I1015" s="3" t="s">
        <v>1569</v>
      </c>
    </row>
    <row r="1016" spans="1:9">
      <c r="A1016" s="3" t="s">
        <v>629</v>
      </c>
      <c r="B1016" s="3" t="s">
        <v>974</v>
      </c>
      <c r="C1016" s="3" t="s">
        <v>900</v>
      </c>
      <c r="D1016" s="3" t="s">
        <v>681</v>
      </c>
      <c r="E1016" s="3" t="s">
        <v>1570</v>
      </c>
      <c r="F1016" s="3" t="s">
        <v>38</v>
      </c>
      <c r="G1016" s="3" t="s">
        <v>1571</v>
      </c>
      <c r="H1016" s="3" t="s">
        <v>16</v>
      </c>
      <c r="I1016" s="3" t="s">
        <v>1572</v>
      </c>
    </row>
    <row r="1017" spans="1:9">
      <c r="A1017" s="3" t="s">
        <v>629</v>
      </c>
      <c r="B1017" s="3" t="s">
        <v>974</v>
      </c>
      <c r="C1017" s="3" t="s">
        <v>900</v>
      </c>
      <c r="D1017" s="3" t="s">
        <v>1470</v>
      </c>
      <c r="E1017" s="3" t="s">
        <v>1573</v>
      </c>
      <c r="F1017" s="3" t="s">
        <v>38</v>
      </c>
      <c r="G1017" s="3" t="s">
        <v>1574</v>
      </c>
      <c r="H1017" s="3" t="s">
        <v>16</v>
      </c>
      <c r="I1017" s="3" t="s">
        <v>1575</v>
      </c>
    </row>
    <row r="1018" spans="1:9">
      <c r="A1018" s="3" t="s">
        <v>629</v>
      </c>
      <c r="B1018" s="3" t="s">
        <v>974</v>
      </c>
      <c r="C1018" s="3" t="s">
        <v>900</v>
      </c>
      <c r="D1018" s="3" t="s">
        <v>1576</v>
      </c>
      <c r="E1018" s="3" t="s">
        <v>1577</v>
      </c>
      <c r="F1018" s="3" t="s">
        <v>38</v>
      </c>
      <c r="G1018" s="3" t="s">
        <v>1578</v>
      </c>
      <c r="H1018" s="3" t="s">
        <v>16</v>
      </c>
      <c r="I1018" s="3" t="s">
        <v>1579</v>
      </c>
    </row>
    <row r="1019" spans="1:9">
      <c r="A1019" s="3" t="s">
        <v>629</v>
      </c>
      <c r="B1019" s="3" t="s">
        <v>974</v>
      </c>
      <c r="C1019" s="3" t="s">
        <v>900</v>
      </c>
      <c r="D1019" s="3" t="s">
        <v>301</v>
      </c>
      <c r="E1019" s="3" t="s">
        <v>1580</v>
      </c>
      <c r="F1019" s="3" t="s">
        <v>38</v>
      </c>
      <c r="G1019" s="3" t="s">
        <v>1581</v>
      </c>
      <c r="H1019" s="3" t="s">
        <v>16</v>
      </c>
      <c r="I1019" s="3" t="s">
        <v>1582</v>
      </c>
    </row>
    <row r="1020" spans="1:9">
      <c r="A1020" s="3" t="s">
        <v>629</v>
      </c>
      <c r="B1020" s="3" t="s">
        <v>974</v>
      </c>
      <c r="C1020" s="3" t="s">
        <v>900</v>
      </c>
      <c r="D1020" s="3" t="s">
        <v>535</v>
      </c>
      <c r="E1020" s="3" t="s">
        <v>1583</v>
      </c>
      <c r="F1020" s="3" t="s">
        <v>38</v>
      </c>
      <c r="G1020" s="3" t="s">
        <v>620</v>
      </c>
      <c r="H1020" s="3" t="s">
        <v>16</v>
      </c>
      <c r="I1020" s="3" t="s">
        <v>1584</v>
      </c>
    </row>
    <row r="1021" spans="1:9">
      <c r="A1021" s="3" t="s">
        <v>629</v>
      </c>
      <c r="B1021" s="3" t="s">
        <v>1585</v>
      </c>
      <c r="C1021" s="3" t="s">
        <v>900</v>
      </c>
      <c r="D1021" s="3" t="s">
        <v>358</v>
      </c>
      <c r="E1021" s="3" t="s">
        <v>766</v>
      </c>
      <c r="F1021" s="3" t="s">
        <v>38</v>
      </c>
      <c r="G1021" s="3" t="s">
        <v>385</v>
      </c>
      <c r="H1021" s="3" t="s">
        <v>16</v>
      </c>
      <c r="I1021" s="3" t="s">
        <v>1586</v>
      </c>
    </row>
    <row r="1022" spans="1:9">
      <c r="A1022" s="3" t="s">
        <v>629</v>
      </c>
      <c r="B1022" s="3" t="s">
        <v>1405</v>
      </c>
      <c r="C1022" s="3" t="s">
        <v>2547</v>
      </c>
      <c r="D1022" s="3" t="s">
        <v>2329</v>
      </c>
      <c r="E1022" s="3" t="s">
        <v>2586</v>
      </c>
      <c r="F1022" s="3" t="s">
        <v>14</v>
      </c>
      <c r="G1022" s="3" t="s">
        <v>385</v>
      </c>
      <c r="H1022" s="3" t="s">
        <v>646</v>
      </c>
      <c r="I1022" s="3" t="s">
        <v>2587</v>
      </c>
    </row>
    <row r="1023" spans="1:9">
      <c r="A1023" s="3" t="s">
        <v>629</v>
      </c>
      <c r="B1023" s="3" t="s">
        <v>2620</v>
      </c>
      <c r="C1023" s="3" t="s">
        <v>2547</v>
      </c>
      <c r="D1023" s="3" t="s">
        <v>99</v>
      </c>
      <c r="E1023" s="3" t="s">
        <v>2621</v>
      </c>
      <c r="F1023" s="3" t="s">
        <v>217</v>
      </c>
      <c r="G1023" s="3" t="s">
        <v>2622</v>
      </c>
      <c r="H1023" s="3" t="s">
        <v>323</v>
      </c>
      <c r="I1023" s="3" t="s">
        <v>2623</v>
      </c>
    </row>
    <row r="1024" spans="1:9">
      <c r="A1024" s="3" t="s">
        <v>629</v>
      </c>
      <c r="B1024" s="3" t="s">
        <v>2712</v>
      </c>
      <c r="C1024" s="3" t="s">
        <v>2547</v>
      </c>
      <c r="D1024" s="3" t="s">
        <v>41</v>
      </c>
      <c r="E1024" s="3" t="s">
        <v>2713</v>
      </c>
      <c r="F1024" s="3" t="s">
        <v>14</v>
      </c>
      <c r="G1024" s="3" t="s">
        <v>1262</v>
      </c>
      <c r="H1024" s="3" t="s">
        <v>16</v>
      </c>
      <c r="I1024" s="3" t="s">
        <v>2714</v>
      </c>
    </row>
    <row r="1025" spans="1:9">
      <c r="A1025" s="3" t="s">
        <v>629</v>
      </c>
      <c r="B1025" s="3" t="s">
        <v>2715</v>
      </c>
      <c r="C1025" s="3" t="s">
        <v>2547</v>
      </c>
      <c r="D1025" s="3" t="s">
        <v>36</v>
      </c>
      <c r="E1025" s="3" t="s">
        <v>2716</v>
      </c>
      <c r="F1025" s="3" t="s">
        <v>14</v>
      </c>
      <c r="G1025" s="3" t="s">
        <v>2717</v>
      </c>
      <c r="H1025" s="3" t="s">
        <v>16</v>
      </c>
      <c r="I1025" s="3" t="s">
        <v>2718</v>
      </c>
    </row>
    <row r="1026" spans="1:9">
      <c r="A1026" s="3" t="s">
        <v>629</v>
      </c>
      <c r="B1026" s="3" t="s">
        <v>2719</v>
      </c>
      <c r="C1026" s="3" t="s">
        <v>2547</v>
      </c>
      <c r="D1026" s="3" t="s">
        <v>1276</v>
      </c>
      <c r="E1026" s="3" t="s">
        <v>129</v>
      </c>
      <c r="F1026" s="3" t="s">
        <v>217</v>
      </c>
      <c r="G1026" s="3" t="s">
        <v>1177</v>
      </c>
      <c r="H1026" s="3" t="s">
        <v>16</v>
      </c>
      <c r="I1026" s="3" t="s">
        <v>2720</v>
      </c>
    </row>
    <row r="1027" spans="1:9">
      <c r="A1027" s="3" t="s">
        <v>629</v>
      </c>
      <c r="B1027" s="3" t="s">
        <v>2721</v>
      </c>
      <c r="C1027" s="3" t="s">
        <v>2547</v>
      </c>
      <c r="D1027" s="3" t="s">
        <v>2722</v>
      </c>
      <c r="E1027" s="3" t="s">
        <v>2723</v>
      </c>
      <c r="F1027" s="3" t="s">
        <v>14</v>
      </c>
      <c r="G1027" s="3" t="s">
        <v>2724</v>
      </c>
      <c r="H1027" s="3" t="s">
        <v>16</v>
      </c>
      <c r="I1027" s="3" t="s">
        <v>2725</v>
      </c>
    </row>
    <row r="1028" spans="1:9">
      <c r="A1028" s="3" t="s">
        <v>629</v>
      </c>
      <c r="B1028" s="3" t="s">
        <v>2730</v>
      </c>
      <c r="C1028" s="3" t="s">
        <v>2547</v>
      </c>
      <c r="D1028" s="3" t="s">
        <v>832</v>
      </c>
      <c r="E1028" s="3" t="s">
        <v>2731</v>
      </c>
      <c r="F1028" s="3" t="s">
        <v>217</v>
      </c>
      <c r="G1028" s="3" t="s">
        <v>2732</v>
      </c>
      <c r="H1028" s="3" t="s">
        <v>16</v>
      </c>
      <c r="I1028" s="3" t="s">
        <v>2733</v>
      </c>
    </row>
    <row r="1029" spans="1:9">
      <c r="A1029" s="3" t="s">
        <v>629</v>
      </c>
      <c r="B1029" s="3" t="s">
        <v>2746</v>
      </c>
      <c r="C1029" s="3" t="s">
        <v>2547</v>
      </c>
      <c r="D1029" s="3" t="s">
        <v>2747</v>
      </c>
      <c r="E1029" s="3" t="s">
        <v>2748</v>
      </c>
      <c r="F1029" s="3" t="s">
        <v>14</v>
      </c>
      <c r="G1029" s="3" t="s">
        <v>2749</v>
      </c>
      <c r="H1029" s="3" t="s">
        <v>16</v>
      </c>
      <c r="I1029" s="3" t="s">
        <v>2750</v>
      </c>
    </row>
    <row r="1030" spans="1:9">
      <c r="A1030" s="3" t="s">
        <v>629</v>
      </c>
      <c r="B1030" s="3" t="s">
        <v>2774</v>
      </c>
      <c r="C1030" s="3" t="s">
        <v>2547</v>
      </c>
      <c r="D1030" s="3" t="s">
        <v>1743</v>
      </c>
      <c r="E1030" s="3" t="s">
        <v>2775</v>
      </c>
      <c r="F1030" s="3" t="s">
        <v>217</v>
      </c>
      <c r="G1030" s="3" t="s">
        <v>385</v>
      </c>
      <c r="H1030" s="3" t="s">
        <v>16</v>
      </c>
      <c r="I1030" s="3" t="s">
        <v>2776</v>
      </c>
    </row>
    <row r="1031" spans="1:9">
      <c r="A1031" s="3" t="s">
        <v>629</v>
      </c>
      <c r="B1031" s="3" t="s">
        <v>2779</v>
      </c>
      <c r="C1031" s="3" t="s">
        <v>2547</v>
      </c>
      <c r="D1031" s="3" t="s">
        <v>99</v>
      </c>
      <c r="E1031" s="3" t="s">
        <v>2780</v>
      </c>
      <c r="F1031" s="3" t="s">
        <v>217</v>
      </c>
      <c r="G1031" s="3" t="s">
        <v>264</v>
      </c>
      <c r="H1031" s="3" t="s">
        <v>323</v>
      </c>
      <c r="I1031" s="3" t="s">
        <v>2781</v>
      </c>
    </row>
    <row r="1032" spans="1:9">
      <c r="A1032" s="3" t="s">
        <v>629</v>
      </c>
      <c r="B1032" s="3" t="s">
        <v>2782</v>
      </c>
      <c r="C1032" s="3" t="s">
        <v>2547</v>
      </c>
      <c r="D1032" s="3" t="s">
        <v>1276</v>
      </c>
      <c r="E1032" s="3" t="s">
        <v>2783</v>
      </c>
      <c r="F1032" s="3" t="s">
        <v>217</v>
      </c>
      <c r="G1032" s="3" t="s">
        <v>2784</v>
      </c>
      <c r="H1032" s="3" t="s">
        <v>16</v>
      </c>
      <c r="I1032" s="3" t="s">
        <v>2785</v>
      </c>
    </row>
    <row r="1033" spans="1:9">
      <c r="A1033" s="3" t="s">
        <v>629</v>
      </c>
      <c r="B1033" s="3" t="s">
        <v>2790</v>
      </c>
      <c r="C1033" s="3" t="s">
        <v>2547</v>
      </c>
      <c r="D1033" s="3" t="s">
        <v>478</v>
      </c>
      <c r="E1033" s="3" t="s">
        <v>2791</v>
      </c>
      <c r="F1033" s="3" t="s">
        <v>217</v>
      </c>
      <c r="G1033" s="3" t="s">
        <v>2792</v>
      </c>
      <c r="H1033" s="3" t="s">
        <v>16</v>
      </c>
      <c r="I1033" s="3" t="s">
        <v>2793</v>
      </c>
    </row>
    <row r="1034" spans="1:9">
      <c r="A1034" s="3" t="s">
        <v>629</v>
      </c>
      <c r="B1034" s="3" t="s">
        <v>2794</v>
      </c>
      <c r="C1034" s="3" t="s">
        <v>2547</v>
      </c>
      <c r="D1034" s="3" t="s">
        <v>2795</v>
      </c>
      <c r="E1034" s="3" t="s">
        <v>2796</v>
      </c>
      <c r="F1034" s="3" t="s">
        <v>217</v>
      </c>
      <c r="G1034" s="3" t="s">
        <v>2797</v>
      </c>
      <c r="H1034" s="3" t="s">
        <v>16</v>
      </c>
      <c r="I1034" s="3" t="s">
        <v>2798</v>
      </c>
    </row>
    <row r="1035" spans="1:9">
      <c r="A1035" s="3" t="s">
        <v>629</v>
      </c>
      <c r="B1035" s="3" t="s">
        <v>2799</v>
      </c>
      <c r="C1035" s="3" t="s">
        <v>2547</v>
      </c>
      <c r="D1035" s="3" t="s">
        <v>640</v>
      </c>
      <c r="E1035" s="3" t="s">
        <v>2800</v>
      </c>
      <c r="F1035" s="3" t="s">
        <v>217</v>
      </c>
      <c r="G1035" s="3" t="s">
        <v>2801</v>
      </c>
      <c r="H1035" s="3" t="s">
        <v>16</v>
      </c>
      <c r="I1035" s="3" t="s">
        <v>2802</v>
      </c>
    </row>
    <row r="1036" spans="1:9">
      <c r="A1036" s="3" t="s">
        <v>629</v>
      </c>
      <c r="B1036" s="3" t="s">
        <v>2811</v>
      </c>
      <c r="C1036" s="3" t="s">
        <v>2547</v>
      </c>
      <c r="D1036" s="3" t="s">
        <v>447</v>
      </c>
      <c r="E1036" s="3" t="s">
        <v>2812</v>
      </c>
      <c r="F1036" s="3" t="s">
        <v>217</v>
      </c>
      <c r="G1036" s="3" t="s">
        <v>2813</v>
      </c>
      <c r="H1036" s="3" t="s">
        <v>16</v>
      </c>
      <c r="I1036" s="3" t="s">
        <v>2814</v>
      </c>
    </row>
    <row r="1037" spans="1:9">
      <c r="A1037" s="3" t="s">
        <v>629</v>
      </c>
      <c r="B1037" s="3" t="s">
        <v>2827</v>
      </c>
      <c r="C1037" s="3" t="s">
        <v>2547</v>
      </c>
      <c r="D1037" s="3" t="s">
        <v>989</v>
      </c>
      <c r="E1037" s="3" t="s">
        <v>2828</v>
      </c>
      <c r="F1037" s="3" t="s">
        <v>217</v>
      </c>
      <c r="G1037" s="3" t="s">
        <v>2829</v>
      </c>
      <c r="H1037" s="3" t="s">
        <v>323</v>
      </c>
      <c r="I1037" s="3" t="s">
        <v>2830</v>
      </c>
    </row>
    <row r="1038" spans="1:9">
      <c r="A1038" s="3" t="s">
        <v>629</v>
      </c>
      <c r="B1038" s="3" t="s">
        <v>2860</v>
      </c>
      <c r="C1038" s="3" t="s">
        <v>2547</v>
      </c>
      <c r="D1038" s="3" t="s">
        <v>328</v>
      </c>
      <c r="E1038" s="3" t="s">
        <v>2861</v>
      </c>
      <c r="F1038" s="3" t="s">
        <v>38</v>
      </c>
      <c r="G1038" s="3" t="s">
        <v>2862</v>
      </c>
      <c r="H1038" s="3" t="s">
        <v>16</v>
      </c>
      <c r="I1038" s="3" t="s">
        <v>2863</v>
      </c>
    </row>
    <row r="1039" spans="1:9">
      <c r="A1039" s="3" t="s">
        <v>629</v>
      </c>
      <c r="B1039" s="3" t="s">
        <v>2874</v>
      </c>
      <c r="C1039" s="3" t="s">
        <v>2547</v>
      </c>
      <c r="D1039" s="3" t="s">
        <v>271</v>
      </c>
      <c r="E1039" s="3" t="s">
        <v>2875</v>
      </c>
      <c r="F1039" s="3" t="s">
        <v>217</v>
      </c>
      <c r="G1039" s="3" t="s">
        <v>2876</v>
      </c>
      <c r="H1039" s="3" t="s">
        <v>323</v>
      </c>
      <c r="I1039" s="3" t="s">
        <v>2877</v>
      </c>
    </row>
    <row r="1040" spans="1:9">
      <c r="A1040" s="3" t="s">
        <v>629</v>
      </c>
      <c r="B1040" s="3" t="s">
        <v>2882</v>
      </c>
      <c r="C1040" s="3" t="s">
        <v>2547</v>
      </c>
      <c r="D1040" s="3" t="s">
        <v>631</v>
      </c>
      <c r="E1040" s="3" t="s">
        <v>2883</v>
      </c>
      <c r="F1040" s="3" t="s">
        <v>217</v>
      </c>
      <c r="G1040" s="3" t="s">
        <v>2884</v>
      </c>
      <c r="H1040" s="3" t="s">
        <v>323</v>
      </c>
      <c r="I1040" s="3" t="s">
        <v>2885</v>
      </c>
    </row>
    <row r="1041" spans="1:9">
      <c r="A1041" s="3" t="s">
        <v>629</v>
      </c>
      <c r="B1041" s="3" t="s">
        <v>2897</v>
      </c>
      <c r="C1041" s="3" t="s">
        <v>2547</v>
      </c>
      <c r="D1041" s="3" t="s">
        <v>659</v>
      </c>
      <c r="E1041" s="3" t="s">
        <v>2898</v>
      </c>
      <c r="F1041" s="3" t="s">
        <v>38</v>
      </c>
      <c r="G1041" s="3" t="s">
        <v>1221</v>
      </c>
      <c r="H1041" s="3" t="s">
        <v>16</v>
      </c>
      <c r="I1041" s="3" t="s">
        <v>2899</v>
      </c>
    </row>
    <row r="1042" spans="1:9">
      <c r="A1042" s="3" t="s">
        <v>629</v>
      </c>
      <c r="B1042" s="3" t="s">
        <v>2905</v>
      </c>
      <c r="C1042" s="3" t="s">
        <v>2547</v>
      </c>
      <c r="D1042" s="3" t="s">
        <v>1899</v>
      </c>
      <c r="E1042" s="3" t="s">
        <v>2906</v>
      </c>
      <c r="F1042" s="3" t="s">
        <v>217</v>
      </c>
      <c r="G1042" s="3"/>
      <c r="H1042" s="3" t="s">
        <v>16</v>
      </c>
      <c r="I1042" s="3" t="s">
        <v>2907</v>
      </c>
    </row>
    <row r="1043" spans="1:9">
      <c r="A1043" s="3" t="s">
        <v>629</v>
      </c>
      <c r="B1043" s="3" t="s">
        <v>2908</v>
      </c>
      <c r="C1043" s="3" t="s">
        <v>2547</v>
      </c>
      <c r="D1043" s="3" t="s">
        <v>313</v>
      </c>
      <c r="E1043" s="3" t="s">
        <v>2909</v>
      </c>
      <c r="F1043" s="3" t="s">
        <v>217</v>
      </c>
      <c r="G1043" s="3" t="s">
        <v>2910</v>
      </c>
      <c r="H1043" s="3" t="s">
        <v>16</v>
      </c>
      <c r="I1043" s="3" t="s">
        <v>2911</v>
      </c>
    </row>
    <row r="1044" spans="1:9">
      <c r="A1044" s="3" t="s">
        <v>629</v>
      </c>
      <c r="B1044" s="3" t="s">
        <v>2912</v>
      </c>
      <c r="C1044" s="3" t="s">
        <v>2547</v>
      </c>
      <c r="D1044" s="3" t="s">
        <v>509</v>
      </c>
      <c r="E1044" s="3" t="s">
        <v>1127</v>
      </c>
      <c r="F1044" s="3" t="s">
        <v>217</v>
      </c>
      <c r="G1044" s="3" t="s">
        <v>2913</v>
      </c>
      <c r="H1044" s="3" t="s">
        <v>323</v>
      </c>
      <c r="I1044" s="3" t="s">
        <v>2914</v>
      </c>
    </row>
    <row r="1045" spans="1:9">
      <c r="A1045" s="3" t="s">
        <v>629</v>
      </c>
      <c r="B1045" s="3" t="s">
        <v>2915</v>
      </c>
      <c r="C1045" s="3" t="s">
        <v>2547</v>
      </c>
      <c r="D1045" s="3" t="s">
        <v>1768</v>
      </c>
      <c r="E1045" s="3" t="s">
        <v>2916</v>
      </c>
      <c r="F1045" s="3" t="s">
        <v>14</v>
      </c>
      <c r="G1045" s="3" t="s">
        <v>2917</v>
      </c>
      <c r="H1045" s="3" t="s">
        <v>323</v>
      </c>
      <c r="I1045" s="3" t="s">
        <v>2918</v>
      </c>
    </row>
    <row r="1046" spans="1:9">
      <c r="A1046" s="3" t="s">
        <v>629</v>
      </c>
      <c r="B1046" s="3" t="s">
        <v>1440</v>
      </c>
      <c r="C1046" s="3" t="s">
        <v>2547</v>
      </c>
      <c r="D1046" s="3" t="s">
        <v>2726</v>
      </c>
      <c r="E1046" s="3" t="s">
        <v>2919</v>
      </c>
      <c r="F1046" s="3" t="s">
        <v>38</v>
      </c>
      <c r="G1046" s="3" t="s">
        <v>2920</v>
      </c>
      <c r="H1046" s="3" t="s">
        <v>16</v>
      </c>
      <c r="I1046" s="3" t="s">
        <v>2921</v>
      </c>
    </row>
    <row r="1047" spans="1:9">
      <c r="A1047" s="3" t="s">
        <v>629</v>
      </c>
      <c r="B1047" s="3" t="s">
        <v>2922</v>
      </c>
      <c r="C1047" s="3" t="s">
        <v>2547</v>
      </c>
      <c r="D1047" s="3" t="s">
        <v>2923</v>
      </c>
      <c r="E1047" s="3" t="s">
        <v>2924</v>
      </c>
      <c r="F1047" s="3" t="s">
        <v>38</v>
      </c>
      <c r="G1047" s="3" t="s">
        <v>2925</v>
      </c>
      <c r="H1047" s="3" t="s">
        <v>16</v>
      </c>
      <c r="I1047" s="3" t="s">
        <v>2926</v>
      </c>
    </row>
    <row r="1048" spans="1:9">
      <c r="A1048" s="3" t="s">
        <v>629</v>
      </c>
      <c r="B1048" s="3" t="s">
        <v>2971</v>
      </c>
      <c r="C1048" s="3" t="s">
        <v>2547</v>
      </c>
      <c r="D1048" s="3" t="s">
        <v>1943</v>
      </c>
      <c r="E1048" s="3" t="s">
        <v>2972</v>
      </c>
      <c r="F1048" s="3" t="s">
        <v>217</v>
      </c>
      <c r="G1048" s="3" t="s">
        <v>2973</v>
      </c>
      <c r="H1048" s="3" t="s">
        <v>16</v>
      </c>
      <c r="I1048" s="3" t="s">
        <v>2974</v>
      </c>
    </row>
    <row r="1049" spans="1:9">
      <c r="A1049" s="3" t="s">
        <v>629</v>
      </c>
      <c r="B1049" s="3" t="s">
        <v>2979</v>
      </c>
      <c r="C1049" s="3" t="s">
        <v>2547</v>
      </c>
      <c r="D1049" s="3" t="s">
        <v>321</v>
      </c>
      <c r="E1049" s="3" t="s">
        <v>2980</v>
      </c>
      <c r="F1049" s="3" t="s">
        <v>217</v>
      </c>
      <c r="G1049" s="3" t="s">
        <v>2945</v>
      </c>
      <c r="H1049" s="3" t="s">
        <v>16</v>
      </c>
      <c r="I1049" s="3" t="s">
        <v>2981</v>
      </c>
    </row>
    <row r="1050" spans="1:9">
      <c r="A1050" s="3" t="s">
        <v>629</v>
      </c>
      <c r="B1050" s="3" t="s">
        <v>2993</v>
      </c>
      <c r="C1050" s="3" t="s">
        <v>2547</v>
      </c>
      <c r="D1050" s="3" t="s">
        <v>509</v>
      </c>
      <c r="E1050" s="3" t="s">
        <v>2994</v>
      </c>
      <c r="F1050" s="3" t="s">
        <v>217</v>
      </c>
      <c r="G1050" s="3" t="s">
        <v>2995</v>
      </c>
      <c r="H1050" s="3" t="s">
        <v>323</v>
      </c>
      <c r="I1050" s="3" t="s">
        <v>2996</v>
      </c>
    </row>
    <row r="1051" spans="1:9">
      <c r="A1051" s="3" t="s">
        <v>629</v>
      </c>
      <c r="B1051" s="3" t="s">
        <v>2811</v>
      </c>
      <c r="C1051" s="3" t="s">
        <v>2547</v>
      </c>
      <c r="D1051" s="3" t="s">
        <v>723</v>
      </c>
      <c r="E1051" s="3" t="s">
        <v>3012</v>
      </c>
      <c r="F1051" s="3" t="s">
        <v>38</v>
      </c>
      <c r="G1051" s="3" t="s">
        <v>3013</v>
      </c>
      <c r="H1051" s="3" t="s">
        <v>16</v>
      </c>
      <c r="I1051" s="3" t="s">
        <v>3014</v>
      </c>
    </row>
    <row r="1052" spans="1:9">
      <c r="A1052" s="3" t="s">
        <v>629</v>
      </c>
      <c r="B1052" s="3" t="s">
        <v>3019</v>
      </c>
      <c r="C1052" s="3" t="s">
        <v>2547</v>
      </c>
      <c r="D1052" s="3" t="s">
        <v>3020</v>
      </c>
      <c r="E1052" s="3" t="s">
        <v>3021</v>
      </c>
      <c r="F1052" s="3" t="s">
        <v>217</v>
      </c>
      <c r="G1052" s="3" t="s">
        <v>245</v>
      </c>
      <c r="H1052" s="3" t="s">
        <v>16</v>
      </c>
      <c r="I1052" s="3" t="s">
        <v>3022</v>
      </c>
    </row>
    <row r="1053" spans="1:9">
      <c r="A1053" s="3" t="s">
        <v>629</v>
      </c>
      <c r="B1053" s="3" t="s">
        <v>3023</v>
      </c>
      <c r="C1053" s="3" t="s">
        <v>2547</v>
      </c>
      <c r="D1053" s="3" t="s">
        <v>18</v>
      </c>
      <c r="E1053" s="3" t="s">
        <v>3024</v>
      </c>
      <c r="F1053" s="3" t="s">
        <v>38</v>
      </c>
      <c r="G1053" s="3" t="s">
        <v>288</v>
      </c>
      <c r="H1053" s="3" t="s">
        <v>16</v>
      </c>
      <c r="I1053" s="3" t="s">
        <v>3025</v>
      </c>
    </row>
    <row r="1054" spans="1:9">
      <c r="A1054" s="3" t="s">
        <v>629</v>
      </c>
      <c r="B1054" s="3" t="s">
        <v>2730</v>
      </c>
      <c r="C1054" s="3" t="s">
        <v>2547</v>
      </c>
      <c r="D1054" s="3" t="s">
        <v>282</v>
      </c>
      <c r="E1054" s="3" t="s">
        <v>310</v>
      </c>
      <c r="F1054" s="3" t="s">
        <v>38</v>
      </c>
      <c r="G1054" s="3" t="s">
        <v>3033</v>
      </c>
      <c r="H1054" s="3" t="s">
        <v>323</v>
      </c>
      <c r="I1054" s="3" t="s">
        <v>3034</v>
      </c>
    </row>
    <row r="1055" spans="1:9">
      <c r="A1055" s="3" t="s">
        <v>629</v>
      </c>
      <c r="B1055" s="3" t="s">
        <v>2774</v>
      </c>
      <c r="C1055" s="3" t="s">
        <v>2547</v>
      </c>
      <c r="D1055" s="3" t="s">
        <v>3035</v>
      </c>
      <c r="E1055" s="3" t="s">
        <v>3036</v>
      </c>
      <c r="F1055" s="3" t="s">
        <v>217</v>
      </c>
      <c r="G1055" s="3" t="s">
        <v>385</v>
      </c>
      <c r="H1055" s="3" t="s">
        <v>323</v>
      </c>
      <c r="I1055" s="3" t="s">
        <v>3037</v>
      </c>
    </row>
    <row r="1056" spans="1:9">
      <c r="A1056" s="3" t="s">
        <v>629</v>
      </c>
      <c r="B1056" s="3" t="s">
        <v>3038</v>
      </c>
      <c r="C1056" s="3" t="s">
        <v>2547</v>
      </c>
      <c r="D1056" s="3" t="s">
        <v>41</v>
      </c>
      <c r="E1056" s="3" t="s">
        <v>3039</v>
      </c>
      <c r="F1056" s="3" t="s">
        <v>225</v>
      </c>
      <c r="G1056" s="3" t="s">
        <v>3040</v>
      </c>
      <c r="H1056" s="3" t="s">
        <v>323</v>
      </c>
      <c r="I1056" s="3" t="s">
        <v>3041</v>
      </c>
    </row>
    <row r="1057" spans="1:9">
      <c r="A1057" s="3" t="s">
        <v>629</v>
      </c>
      <c r="B1057" s="3" t="s">
        <v>3038</v>
      </c>
      <c r="C1057" s="3" t="s">
        <v>2547</v>
      </c>
      <c r="D1057" s="3" t="s">
        <v>239</v>
      </c>
      <c r="E1057" s="3" t="s">
        <v>3055</v>
      </c>
      <c r="F1057" s="3" t="s">
        <v>217</v>
      </c>
      <c r="G1057" s="3" t="s">
        <v>849</v>
      </c>
      <c r="H1057" s="3" t="s">
        <v>323</v>
      </c>
      <c r="I1057" s="3" t="s">
        <v>3056</v>
      </c>
    </row>
    <row r="1058" spans="1:9">
      <c r="A1058" s="3" t="s">
        <v>629</v>
      </c>
      <c r="B1058" s="3" t="s">
        <v>2719</v>
      </c>
      <c r="C1058" s="3" t="s">
        <v>2547</v>
      </c>
      <c r="D1058" s="3" t="s">
        <v>36</v>
      </c>
      <c r="E1058" s="3" t="s">
        <v>3062</v>
      </c>
      <c r="F1058" s="3" t="s">
        <v>217</v>
      </c>
      <c r="G1058" s="3" t="s">
        <v>3063</v>
      </c>
      <c r="H1058" s="3" t="s">
        <v>16</v>
      </c>
      <c r="I1058" s="3" t="s">
        <v>3064</v>
      </c>
    </row>
    <row r="1059" spans="1:9">
      <c r="A1059" s="3" t="s">
        <v>629</v>
      </c>
      <c r="B1059" s="3" t="s">
        <v>2794</v>
      </c>
      <c r="C1059" s="3" t="s">
        <v>2547</v>
      </c>
      <c r="D1059" s="3" t="s">
        <v>91</v>
      </c>
      <c r="E1059" s="3" t="s">
        <v>967</v>
      </c>
      <c r="F1059" s="3" t="s">
        <v>217</v>
      </c>
      <c r="G1059" s="3" t="s">
        <v>3070</v>
      </c>
      <c r="H1059" s="3" t="s">
        <v>323</v>
      </c>
      <c r="I1059" s="3" t="s">
        <v>3071</v>
      </c>
    </row>
    <row r="1060" spans="1:9">
      <c r="A1060" s="3" t="s">
        <v>629</v>
      </c>
      <c r="B1060" s="3" t="s">
        <v>3105</v>
      </c>
      <c r="C1060" s="3" t="s">
        <v>2547</v>
      </c>
      <c r="D1060" s="3" t="s">
        <v>3106</v>
      </c>
      <c r="E1060" s="3" t="s">
        <v>3107</v>
      </c>
      <c r="F1060" s="3" t="s">
        <v>217</v>
      </c>
      <c r="G1060" s="3" t="s">
        <v>3108</v>
      </c>
      <c r="H1060" s="3" t="s">
        <v>16</v>
      </c>
      <c r="I1060" s="3" t="s">
        <v>3109</v>
      </c>
    </row>
    <row r="1061" spans="1:9">
      <c r="A1061" s="3" t="s">
        <v>629</v>
      </c>
      <c r="B1061" s="3" t="s">
        <v>3135</v>
      </c>
      <c r="C1061" s="3" t="s">
        <v>2547</v>
      </c>
      <c r="D1061" s="3" t="s">
        <v>1479</v>
      </c>
      <c r="E1061" s="3" t="s">
        <v>3136</v>
      </c>
      <c r="F1061" s="3" t="s">
        <v>217</v>
      </c>
      <c r="G1061" s="3" t="s">
        <v>3137</v>
      </c>
      <c r="H1061" s="3" t="s">
        <v>16</v>
      </c>
      <c r="I1061" s="3" t="s">
        <v>3138</v>
      </c>
    </row>
    <row r="1062" spans="1:9">
      <c r="A1062" s="3" t="s">
        <v>629</v>
      </c>
      <c r="B1062" s="3" t="s">
        <v>2774</v>
      </c>
      <c r="C1062" s="3" t="s">
        <v>2547</v>
      </c>
      <c r="D1062" s="3" t="s">
        <v>3139</v>
      </c>
      <c r="E1062" s="3" t="s">
        <v>3140</v>
      </c>
      <c r="F1062" s="3" t="s">
        <v>217</v>
      </c>
      <c r="G1062" s="3" t="s">
        <v>3141</v>
      </c>
      <c r="H1062" s="3" t="s">
        <v>16</v>
      </c>
      <c r="I1062" s="3" t="s">
        <v>3142</v>
      </c>
    </row>
    <row r="1063" spans="1:9">
      <c r="A1063" s="3" t="s">
        <v>629</v>
      </c>
      <c r="B1063" s="3" t="s">
        <v>2882</v>
      </c>
      <c r="C1063" s="3" t="s">
        <v>2547</v>
      </c>
      <c r="D1063" s="3" t="s">
        <v>3221</v>
      </c>
      <c r="E1063" s="3" t="s">
        <v>3222</v>
      </c>
      <c r="F1063" s="3" t="s">
        <v>38</v>
      </c>
      <c r="G1063" s="3" t="s">
        <v>3223</v>
      </c>
      <c r="H1063" s="3" t="s">
        <v>16</v>
      </c>
      <c r="I1063" s="3" t="s">
        <v>3224</v>
      </c>
    </row>
    <row r="1064" spans="1:9">
      <c r="A1064" s="3" t="s">
        <v>629</v>
      </c>
      <c r="B1064" s="3" t="s">
        <v>2874</v>
      </c>
      <c r="C1064" s="3" t="s">
        <v>2547</v>
      </c>
      <c r="D1064" s="3" t="s">
        <v>2398</v>
      </c>
      <c r="E1064" s="3" t="s">
        <v>3339</v>
      </c>
      <c r="F1064" s="3" t="s">
        <v>38</v>
      </c>
      <c r="G1064" s="3" t="s">
        <v>597</v>
      </c>
      <c r="H1064" s="3" t="s">
        <v>16</v>
      </c>
      <c r="I1064" s="3" t="s">
        <v>3340</v>
      </c>
    </row>
    <row r="1065" spans="1:9">
      <c r="A1065" s="3" t="s">
        <v>629</v>
      </c>
      <c r="B1065" s="3" t="s">
        <v>2979</v>
      </c>
      <c r="C1065" s="3" t="s">
        <v>2547</v>
      </c>
      <c r="D1065" s="3" t="s">
        <v>3357</v>
      </c>
      <c r="E1065" s="3" t="s">
        <v>389</v>
      </c>
      <c r="F1065" s="3" t="s">
        <v>38</v>
      </c>
      <c r="G1065" s="3" t="s">
        <v>433</v>
      </c>
      <c r="H1065" s="3" t="s">
        <v>16</v>
      </c>
      <c r="I1065" s="3" t="s">
        <v>3358</v>
      </c>
    </row>
    <row r="1066" spans="1:9">
      <c r="A1066" s="3" t="s">
        <v>629</v>
      </c>
      <c r="B1066" s="3" t="s">
        <v>2993</v>
      </c>
      <c r="C1066" s="3" t="s">
        <v>2547</v>
      </c>
      <c r="D1066" s="3" t="s">
        <v>3359</v>
      </c>
      <c r="E1066" s="3" t="s">
        <v>3360</v>
      </c>
      <c r="F1066" s="3" t="s">
        <v>38</v>
      </c>
      <c r="G1066" s="3" t="s">
        <v>3361</v>
      </c>
      <c r="H1066" s="3" t="s">
        <v>16</v>
      </c>
      <c r="I1066" s="3" t="s">
        <v>3362</v>
      </c>
    </row>
    <row r="1067" spans="1:9">
      <c r="A1067" s="3" t="s">
        <v>629</v>
      </c>
      <c r="B1067" s="3" t="s">
        <v>2993</v>
      </c>
      <c r="C1067" s="3" t="s">
        <v>2547</v>
      </c>
      <c r="D1067" s="3" t="s">
        <v>95</v>
      </c>
      <c r="E1067" s="3" t="s">
        <v>3363</v>
      </c>
      <c r="F1067" s="3" t="s">
        <v>38</v>
      </c>
      <c r="G1067" s="3" t="s">
        <v>3364</v>
      </c>
      <c r="H1067" s="3" t="s">
        <v>16</v>
      </c>
      <c r="I1067" s="3" t="s">
        <v>3365</v>
      </c>
    </row>
    <row r="1068" spans="1:9">
      <c r="A1068" s="3" t="s">
        <v>629</v>
      </c>
      <c r="B1068" s="3" t="s">
        <v>2993</v>
      </c>
      <c r="C1068" s="3" t="s">
        <v>2547</v>
      </c>
      <c r="D1068" s="3" t="s">
        <v>3366</v>
      </c>
      <c r="E1068" s="3" t="s">
        <v>3367</v>
      </c>
      <c r="F1068" s="3" t="s">
        <v>38</v>
      </c>
      <c r="G1068" s="3" t="s">
        <v>849</v>
      </c>
      <c r="H1068" s="3" t="s">
        <v>16</v>
      </c>
      <c r="I1068" s="3" t="s">
        <v>3368</v>
      </c>
    </row>
    <row r="1069" spans="1:9">
      <c r="A1069" s="3" t="s">
        <v>629</v>
      </c>
      <c r="B1069" s="3" t="s">
        <v>2905</v>
      </c>
      <c r="C1069" s="3" t="s">
        <v>2547</v>
      </c>
      <c r="D1069" s="3" t="s">
        <v>989</v>
      </c>
      <c r="E1069" s="3" t="s">
        <v>1124</v>
      </c>
      <c r="F1069" s="3" t="s">
        <v>38</v>
      </c>
      <c r="G1069" s="3" t="s">
        <v>3432</v>
      </c>
      <c r="H1069" s="3" t="s">
        <v>16</v>
      </c>
      <c r="I1069" s="3" t="s">
        <v>3433</v>
      </c>
    </row>
    <row r="1070" spans="1:9">
      <c r="A1070" s="3" t="s">
        <v>629</v>
      </c>
      <c r="B1070" s="3" t="s">
        <v>3548</v>
      </c>
      <c r="C1070" s="3" t="s">
        <v>3529</v>
      </c>
      <c r="D1070" s="3" t="s">
        <v>3549</v>
      </c>
      <c r="E1070" s="3" t="s">
        <v>3550</v>
      </c>
      <c r="F1070" s="3" t="s">
        <v>217</v>
      </c>
      <c r="G1070" s="3" t="s">
        <v>3551</v>
      </c>
      <c r="H1070" s="3" t="s">
        <v>323</v>
      </c>
      <c r="I1070" s="3" t="s">
        <v>3552</v>
      </c>
    </row>
    <row r="1071" spans="1:9">
      <c r="A1071" s="3" t="s">
        <v>629</v>
      </c>
      <c r="B1071" s="3" t="s">
        <v>3563</v>
      </c>
      <c r="C1071" s="3" t="s">
        <v>3529</v>
      </c>
      <c r="D1071" s="3" t="s">
        <v>239</v>
      </c>
      <c r="E1071" s="3" t="s">
        <v>3564</v>
      </c>
      <c r="F1071" s="3" t="s">
        <v>217</v>
      </c>
      <c r="G1071" s="3" t="s">
        <v>3565</v>
      </c>
      <c r="H1071" s="3" t="s">
        <v>323</v>
      </c>
      <c r="I1071" s="3" t="s">
        <v>3566</v>
      </c>
    </row>
  </sheetData>
  <pageMargins left="0.75" right="0.75" top="1" bottom="1" header="0.5" footer="0.5"/>
  <pageSetup orientation="portrait" horizontalDpi="200" verticalDpi="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M17"/>
  <sheetViews>
    <sheetView workbookViewId="0">
      <selection sqref="A1:J9"/>
    </sheetView>
  </sheetViews>
  <sheetFormatPr defaultRowHeight="15"/>
  <cols>
    <col min="1" max="1" width="36.140625" bestFit="1" customWidth="1"/>
    <col min="2" max="2" width="18.5703125" bestFit="1" customWidth="1"/>
    <col min="6" max="6" width="20.42578125" bestFit="1" customWidth="1"/>
    <col min="11" max="11" width="36.140625" bestFit="1" customWidth="1"/>
  </cols>
  <sheetData>
    <row r="1" spans="1:13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3" s="2" customForma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K2" s="2" t="s">
        <v>9</v>
      </c>
      <c r="L2" s="2">
        <f>COUNTIF(A:A,"Restaurants - Full Serve / Casual Dining")</f>
        <v>5</v>
      </c>
      <c r="M2" s="2">
        <f>COUNTIF(A:A,K2)</f>
        <v>5</v>
      </c>
    </row>
    <row r="3" spans="1:13" s="2" customFormat="1">
      <c r="A3" s="3" t="s">
        <v>9</v>
      </c>
      <c r="B3" s="3" t="s">
        <v>3633</v>
      </c>
      <c r="C3" s="3" t="s">
        <v>11</v>
      </c>
      <c r="D3" s="3" t="s">
        <v>18</v>
      </c>
      <c r="E3" s="3" t="s">
        <v>19</v>
      </c>
      <c r="F3" s="3" t="s">
        <v>14</v>
      </c>
      <c r="G3" s="3" t="s">
        <v>20</v>
      </c>
      <c r="H3" s="3" t="s">
        <v>16</v>
      </c>
      <c r="I3" s="3" t="s">
        <v>21</v>
      </c>
      <c r="K3" s="3" t="s">
        <v>38</v>
      </c>
      <c r="L3" s="2">
        <f>COUNTIFS($A:$A,$K$2,$F:$F,K3)</f>
        <v>2</v>
      </c>
    </row>
    <row r="4" spans="1:13" s="2" customFormat="1">
      <c r="A4" s="3" t="s">
        <v>9</v>
      </c>
      <c r="B4" s="3" t="s">
        <v>3634</v>
      </c>
      <c r="C4" s="3" t="s">
        <v>11</v>
      </c>
      <c r="D4" s="3" t="s">
        <v>22</v>
      </c>
      <c r="E4" s="3" t="s">
        <v>23</v>
      </c>
      <c r="F4" s="3" t="s">
        <v>14</v>
      </c>
      <c r="G4" s="3" t="s">
        <v>24</v>
      </c>
      <c r="H4" s="3" t="s">
        <v>16</v>
      </c>
      <c r="I4" s="3" t="s">
        <v>25</v>
      </c>
      <c r="K4" s="3" t="s">
        <v>14</v>
      </c>
      <c r="L4" s="2">
        <f>COUNTIFS($A:$A,$K$2,$F:$F,K4)</f>
        <v>3</v>
      </c>
    </row>
    <row r="5" spans="1:13" s="2" customFormat="1">
      <c r="A5" s="3" t="s">
        <v>9</v>
      </c>
      <c r="B5" s="3" t="s">
        <v>3635</v>
      </c>
      <c r="C5" s="3" t="s">
        <v>11</v>
      </c>
      <c r="D5" s="3" t="s">
        <v>26</v>
      </c>
      <c r="E5" s="3" t="s">
        <v>27</v>
      </c>
      <c r="F5" s="3" t="s">
        <v>38</v>
      </c>
      <c r="G5" s="3" t="s">
        <v>28</v>
      </c>
      <c r="H5" s="3" t="s">
        <v>16</v>
      </c>
      <c r="I5" s="3" t="s">
        <v>29</v>
      </c>
    </row>
    <row r="6" spans="1:13" s="2" customFormat="1">
      <c r="A6" s="3" t="s">
        <v>9</v>
      </c>
      <c r="B6" s="3" t="s">
        <v>10</v>
      </c>
      <c r="C6" s="3" t="s">
        <v>11</v>
      </c>
      <c r="D6" s="3" t="s">
        <v>30</v>
      </c>
      <c r="E6" s="3" t="s">
        <v>31</v>
      </c>
      <c r="F6" s="3" t="s">
        <v>38</v>
      </c>
      <c r="G6" s="3" t="s">
        <v>32</v>
      </c>
      <c r="H6" s="3" t="s">
        <v>16</v>
      </c>
      <c r="I6" s="3" t="s">
        <v>33</v>
      </c>
    </row>
    <row r="7" spans="1:13" s="2" customFormat="1">
      <c r="A7" s="3" t="s">
        <v>34</v>
      </c>
      <c r="B7" s="3" t="s">
        <v>35</v>
      </c>
      <c r="C7" s="3" t="s">
        <v>11</v>
      </c>
      <c r="D7" s="3" t="s">
        <v>36</v>
      </c>
      <c r="E7" s="3" t="s">
        <v>37</v>
      </c>
      <c r="F7" s="3" t="s">
        <v>38</v>
      </c>
      <c r="G7" s="3" t="s">
        <v>39</v>
      </c>
      <c r="H7" s="3" t="s">
        <v>16</v>
      </c>
      <c r="I7" s="3" t="s">
        <v>40</v>
      </c>
      <c r="K7" s="3" t="s">
        <v>34</v>
      </c>
      <c r="L7" s="2">
        <f>COUNTIF(A:A,"Retail - Grocery")</f>
        <v>3</v>
      </c>
      <c r="M7" s="2">
        <f>COUNTIF(A:A,K7)</f>
        <v>3</v>
      </c>
    </row>
    <row r="8" spans="1:13" s="2" customFormat="1">
      <c r="A8" s="3" t="s">
        <v>34</v>
      </c>
      <c r="B8" s="3" t="s">
        <v>35</v>
      </c>
      <c r="C8" s="3" t="s">
        <v>11</v>
      </c>
      <c r="D8" s="3" t="s">
        <v>41</v>
      </c>
      <c r="E8" s="3" t="s">
        <v>42</v>
      </c>
      <c r="F8" s="3" t="s">
        <v>38</v>
      </c>
      <c r="G8" s="3" t="s">
        <v>43</v>
      </c>
      <c r="H8" s="3" t="s">
        <v>16</v>
      </c>
      <c r="I8" s="3" t="s">
        <v>44</v>
      </c>
    </row>
    <row r="9" spans="1:13" s="2" customFormat="1">
      <c r="A9" s="3" t="s">
        <v>34</v>
      </c>
      <c r="B9" s="3" t="s">
        <v>35</v>
      </c>
      <c r="C9" s="3" t="s">
        <v>11</v>
      </c>
      <c r="D9" s="3" t="s">
        <v>45</v>
      </c>
      <c r="E9" s="3" t="s">
        <v>46</v>
      </c>
      <c r="F9" s="3" t="s">
        <v>38</v>
      </c>
      <c r="G9" s="3" t="s">
        <v>47</v>
      </c>
      <c r="H9" s="3" t="s">
        <v>16</v>
      </c>
      <c r="I9" s="3" t="s">
        <v>48</v>
      </c>
    </row>
    <row r="14" spans="1:13">
      <c r="F14">
        <f>SUMPRODUCT((B:B&lt;&gt;"")/COUNTIF(A:A,K2))</f>
        <v>1.7999999999999998</v>
      </c>
    </row>
    <row r="15" spans="1:13">
      <c r="C15" s="10">
        <f>IF(A:A="Restaurants - Full Serve / Casual Dining",SUMPRODUCT((B:B&lt;&gt;"")/COUNTIF(B:B,B:B&amp;"")),1)</f>
        <v>1</v>
      </c>
      <c r="E15" s="10" t="e">
        <f>SUM(SIGN(FREQUENCY(IFERROR(IF(A:A="restaurants - Full serve / casual dining",MATCH(B:B,B:B,0)),""),ROW(A:A)-ROW(A)+1)))</f>
        <v>#VALUE!</v>
      </c>
    </row>
    <row r="17" spans="5:6">
      <c r="E17" s="10" t="e">
        <f t="array" ref="E17">SUM(SIGN(FREQUENCY(IFERROR(IF(A1:A1000=K2,MATCH(B1:B1000,B1:B1000,0)),""),ROW(A1:A1000)-ROW(A)+1)))</f>
        <v>#N/A</v>
      </c>
      <c r="F17" s="10">
        <f t="array" ref="F17">SUM(SIGN(FREQUENCY(IFERROR(IF(A1:A17=K2,MATCH(B1:B17,B1:B17,0)),""),ROW(A1:A17)-ROW(A1)+1)))</f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31"/>
  <sheetViews>
    <sheetView topLeftCell="A14" zoomScale="90" zoomScaleNormal="90" workbookViewId="0">
      <selection activeCell="B2" sqref="B2"/>
    </sheetView>
  </sheetViews>
  <sheetFormatPr defaultRowHeight="15"/>
  <cols>
    <col min="1" max="1" width="36.28515625" bestFit="1" customWidth="1"/>
    <col min="2" max="2" width="8.5703125" bestFit="1" customWidth="1"/>
    <col min="3" max="3" width="4.140625" bestFit="1" customWidth="1"/>
    <col min="4" max="4" width="8.42578125" bestFit="1" customWidth="1"/>
    <col min="5" max="5" width="4.140625" bestFit="1" customWidth="1"/>
    <col min="6" max="6" width="8.42578125" bestFit="1" customWidth="1"/>
    <col min="7" max="7" width="4.140625" bestFit="1" customWidth="1"/>
    <col min="8" max="8" width="8.42578125" bestFit="1" customWidth="1"/>
    <col min="9" max="9" width="4.140625" bestFit="1" customWidth="1"/>
    <col min="10" max="10" width="8.42578125" bestFit="1" customWidth="1"/>
    <col min="11" max="11" width="4.140625" bestFit="1" customWidth="1"/>
    <col min="12" max="12" width="8.42578125" bestFit="1" customWidth="1"/>
    <col min="13" max="13" width="4.140625" bestFit="1" customWidth="1"/>
    <col min="14" max="14" width="8.42578125" bestFit="1" customWidth="1"/>
    <col min="15" max="15" width="4.140625" bestFit="1" customWidth="1"/>
    <col min="16" max="16" width="8.42578125" bestFit="1" customWidth="1"/>
    <col min="17" max="17" width="4.140625" bestFit="1" customWidth="1"/>
    <col min="18" max="18" width="8.42578125" bestFit="1" customWidth="1"/>
  </cols>
  <sheetData>
    <row r="1" spans="1:10">
      <c r="A1" t="s">
        <v>3637</v>
      </c>
      <c r="B1" s="10">
        <f>SUMPRODUCT(('Data Dump'!B:B&lt;&gt;"")/COUNTIF('Data Dump'!B:B,'Data Dump'!B:B&amp;""))</f>
        <v>487.99999999999835</v>
      </c>
    </row>
    <row r="3" spans="1:10" ht="196.5">
      <c r="A3" s="12"/>
      <c r="B3" s="13" t="s">
        <v>3638</v>
      </c>
      <c r="C3" s="13" t="s">
        <v>38</v>
      </c>
      <c r="D3" s="13" t="s">
        <v>3639</v>
      </c>
      <c r="E3" s="13" t="s">
        <v>217</v>
      </c>
      <c r="F3" s="13" t="s">
        <v>3640</v>
      </c>
      <c r="G3" s="13" t="s">
        <v>225</v>
      </c>
      <c r="H3" s="13" t="s">
        <v>3641</v>
      </c>
      <c r="I3" s="13" t="s">
        <v>14</v>
      </c>
      <c r="J3" s="13" t="s">
        <v>3642</v>
      </c>
    </row>
    <row r="4" spans="1:10">
      <c r="A4" s="12" t="s">
        <v>120</v>
      </c>
      <c r="B4" s="10">
        <f t="array" ref="B4">SUM(SIGN(FREQUENCY(IFERROR(IF('Data Dump'!$A:$A=A4,MATCH('Data Dump'!$B:$B,'Data Dump'!$B:$B,0)),""),ROW('Data Dump'!$A$1:$A$2000)-ROW('Data Dump'!$A$1)+1)))</f>
        <v>45</v>
      </c>
      <c r="D4" s="8">
        <f>C4/B4</f>
        <v>0</v>
      </c>
      <c r="F4" s="8">
        <f>E4/B4</f>
        <v>0</v>
      </c>
      <c r="H4" s="8">
        <f>G4/B4</f>
        <v>0</v>
      </c>
      <c r="J4" s="8">
        <f>I4/B4</f>
        <v>0</v>
      </c>
    </row>
    <row r="5" spans="1:10">
      <c r="A5" s="12" t="s">
        <v>9</v>
      </c>
      <c r="B5" s="10">
        <f t="array" ref="B5">SUM(SIGN(FREQUENCY(IFERROR(IF('Data Dump'!$A:$A=A5,MATCH('Data Dump'!$B:$B,'Data Dump'!$B:$B,0)),""),ROW('Data Dump'!$A$1:$A$2000)-ROW('Data Dump'!$A$1)+1)))</f>
        <v>66</v>
      </c>
      <c r="D5" s="8">
        <f t="shared" ref="D5:D11" si="0">C5/B5</f>
        <v>0</v>
      </c>
      <c r="F5" s="8">
        <f t="shared" ref="F5:F11" si="1">E5/B5</f>
        <v>0</v>
      </c>
      <c r="H5" s="8">
        <f t="shared" ref="H5:H11" si="2">G5/B5</f>
        <v>0</v>
      </c>
      <c r="J5" s="8">
        <f t="shared" ref="J5:J11" si="3">I5/B5</f>
        <v>0</v>
      </c>
    </row>
    <row r="6" spans="1:10">
      <c r="A6" s="12" t="s">
        <v>73</v>
      </c>
      <c r="B6" s="10">
        <f t="array" ref="B6">SUM(SIGN(FREQUENCY(IFERROR(IF('Data Dump'!$A:$A=A6,MATCH('Data Dump'!$B:$B,'Data Dump'!$B:$B,0)),""),ROW('Data Dump'!$A$1:$A$2000)-ROW('Data Dump'!$A$1)+1)))</f>
        <v>81</v>
      </c>
      <c r="D6" s="8">
        <f t="shared" si="0"/>
        <v>0</v>
      </c>
      <c r="F6" s="8">
        <f t="shared" si="1"/>
        <v>0</v>
      </c>
      <c r="H6" s="8">
        <f t="shared" si="2"/>
        <v>0</v>
      </c>
      <c r="J6" s="8">
        <f t="shared" si="3"/>
        <v>0</v>
      </c>
    </row>
    <row r="7" spans="1:10">
      <c r="A7" s="12" t="s">
        <v>1000</v>
      </c>
      <c r="B7" s="10">
        <f t="array" ref="B7">SUM(SIGN(FREQUENCY(IFERROR(IF('Data Dump'!$A:$A=A7,MATCH('Data Dump'!$B:$B,'Data Dump'!$B:$B,0)),""),ROW('Data Dump'!$A$1:$A$2000)-ROW('Data Dump'!$A$1)+1)))</f>
        <v>54</v>
      </c>
      <c r="D7" s="8">
        <f t="shared" si="0"/>
        <v>0</v>
      </c>
      <c r="F7" s="8">
        <f t="shared" si="1"/>
        <v>0</v>
      </c>
      <c r="H7" s="8">
        <f t="shared" si="2"/>
        <v>0</v>
      </c>
      <c r="J7" s="8">
        <f t="shared" si="3"/>
        <v>0</v>
      </c>
    </row>
    <row r="8" spans="1:10">
      <c r="A8" s="12" t="s">
        <v>34</v>
      </c>
      <c r="B8" s="10">
        <f t="array" ref="B8">SUM(SIGN(FREQUENCY(IFERROR(IF('Data Dump'!$A:$A=A8,MATCH('Data Dump'!$B:$B,'Data Dump'!$B:$B,0)),""),ROW('Data Dump'!$A$1:$A$2000)-ROW('Data Dump'!$A$1)+1)))</f>
        <v>95</v>
      </c>
      <c r="D8" s="8">
        <f t="shared" si="0"/>
        <v>0</v>
      </c>
      <c r="F8" s="8">
        <f t="shared" si="1"/>
        <v>0</v>
      </c>
      <c r="H8" s="8">
        <f t="shared" si="2"/>
        <v>0</v>
      </c>
      <c r="J8" s="8">
        <f t="shared" si="3"/>
        <v>0</v>
      </c>
    </row>
    <row r="9" spans="1:10">
      <c r="A9" s="12" t="s">
        <v>617</v>
      </c>
      <c r="B9" s="10">
        <f t="array" ref="B9">SUM(SIGN(FREQUENCY(IFERROR(IF('Data Dump'!$A:$A=A9,MATCH('Data Dump'!$B:$B,'Data Dump'!$B:$B,0)),""),ROW('Data Dump'!$A$1:$A$2000)-ROW('Data Dump'!$A$1)+1)))</f>
        <v>47</v>
      </c>
      <c r="D9" s="8">
        <f t="shared" si="0"/>
        <v>0</v>
      </c>
      <c r="F9" s="8">
        <f t="shared" si="1"/>
        <v>0</v>
      </c>
      <c r="H9" s="8">
        <f t="shared" si="2"/>
        <v>0</v>
      </c>
      <c r="J9" s="8">
        <f t="shared" si="3"/>
        <v>0</v>
      </c>
    </row>
    <row r="10" spans="1:10">
      <c r="A10" s="12" t="s">
        <v>2333</v>
      </c>
      <c r="B10" s="10">
        <f t="array" ref="B10">SUM(SIGN(FREQUENCY(IFERROR(IF('Data Dump'!$A:$A=A10,MATCH('Data Dump'!$B:$B,'Data Dump'!$B:$B,0)),""),ROW('Data Dump'!$A$1:$A$2000)-ROW('Data Dump'!$A$1)+1)))</f>
        <v>7</v>
      </c>
      <c r="D10" s="8">
        <f t="shared" si="0"/>
        <v>0</v>
      </c>
      <c r="F10" s="8">
        <f t="shared" si="1"/>
        <v>0</v>
      </c>
      <c r="H10" s="8">
        <f t="shared" si="2"/>
        <v>0</v>
      </c>
      <c r="J10" s="8">
        <f t="shared" si="3"/>
        <v>0</v>
      </c>
    </row>
    <row r="11" spans="1:10">
      <c r="A11" s="12" t="s">
        <v>629</v>
      </c>
      <c r="B11" s="10">
        <f t="array" ref="B11">SUM(SIGN(FREQUENCY(IFERROR(IF('Data Dump'!$A:$A=A11,MATCH('Data Dump'!$B:$B,'Data Dump'!$B:$B,0)),""),ROW('Data Dump'!$A$1:$A$2000)-ROW('Data Dump'!$A$1)+1)))</f>
        <v>99</v>
      </c>
      <c r="D11" s="8">
        <f t="shared" si="0"/>
        <v>0</v>
      </c>
      <c r="F11" s="8">
        <f t="shared" si="1"/>
        <v>0</v>
      </c>
      <c r="H11" s="8">
        <f t="shared" si="2"/>
        <v>0</v>
      </c>
      <c r="J11" s="8">
        <f t="shared" si="3"/>
        <v>0</v>
      </c>
    </row>
    <row r="13" spans="1:10" ht="196.5">
      <c r="A13" s="12"/>
      <c r="B13" s="13" t="s">
        <v>3638</v>
      </c>
      <c r="C13" s="13" t="s">
        <v>38</v>
      </c>
      <c r="D13" s="13" t="s">
        <v>3639</v>
      </c>
      <c r="E13" s="13" t="s">
        <v>217</v>
      </c>
      <c r="F13" s="13" t="s">
        <v>3640</v>
      </c>
      <c r="G13" s="13" t="s">
        <v>225</v>
      </c>
      <c r="H13" s="13" t="s">
        <v>3641</v>
      </c>
      <c r="I13" s="13" t="s">
        <v>14</v>
      </c>
      <c r="J13" s="13" t="s">
        <v>3642</v>
      </c>
    </row>
    <row r="14" spans="1:10">
      <c r="A14" s="12" t="s">
        <v>3513</v>
      </c>
      <c r="B14" s="10">
        <f t="array" ref="B14">SUM(SIGN(FREQUENCY(IFERROR(IF('Data Dump'!$C:$C=A14,MATCH('Data Dump'!$B:$B,'Data Dump'!$B:$B,0)),""),ROW('Data Dump'!$A$1:$A$2000)-ROW('Data Dump'!$A$1)+1)))</f>
        <v>3</v>
      </c>
      <c r="D14" s="8">
        <f>C14/B14</f>
        <v>0</v>
      </c>
      <c r="F14" s="8">
        <f>E14/B14</f>
        <v>0</v>
      </c>
      <c r="H14" s="8">
        <f>G14/B14</f>
        <v>0</v>
      </c>
      <c r="J14">
        <f>I14/B14</f>
        <v>0</v>
      </c>
    </row>
    <row r="15" spans="1:10">
      <c r="A15" s="12" t="s">
        <v>320</v>
      </c>
      <c r="B15" s="10">
        <f t="array" ref="B15">SUM(SIGN(FREQUENCY(IFERROR(IF('Data Dump'!$C:$C=A15,MATCH('Data Dump'!$B:$B,'Data Dump'!$B:$B,0)),""),ROW('Data Dump'!$A$1:$A$2000)-ROW('Data Dump'!$A$1)+1)))</f>
        <v>87</v>
      </c>
      <c r="D15" s="8">
        <f t="shared" ref="D15:D21" si="4">C15/B15</f>
        <v>0</v>
      </c>
      <c r="F15" s="8">
        <f t="shared" ref="F15:F21" si="5">E15/B15</f>
        <v>0</v>
      </c>
      <c r="H15" s="8">
        <f t="shared" ref="H15:H21" si="6">G15/B15</f>
        <v>0</v>
      </c>
      <c r="J15">
        <f t="shared" ref="J15:J21" si="7">I15/B15</f>
        <v>0</v>
      </c>
    </row>
    <row r="16" spans="1:10">
      <c r="A16" s="12" t="s">
        <v>2547</v>
      </c>
      <c r="B16" s="10">
        <f t="array" ref="B16">SUM(SIGN(FREQUENCY(IFERROR(IF('Data Dump'!$C:$C=A16,MATCH('Data Dump'!$B:$B,'Data Dump'!$B:$B,0)),""),ROW('Data Dump'!$A$1:$A$2000)-ROW('Data Dump'!$A$1)+1)))</f>
        <v>134</v>
      </c>
      <c r="D16" s="8">
        <f t="shared" si="4"/>
        <v>0</v>
      </c>
      <c r="F16" s="8">
        <f t="shared" si="5"/>
        <v>0</v>
      </c>
      <c r="H16" s="8">
        <f t="shared" si="6"/>
        <v>0</v>
      </c>
      <c r="J16">
        <f t="shared" si="7"/>
        <v>0</v>
      </c>
    </row>
    <row r="17" spans="1:18">
      <c r="A17" s="12" t="s">
        <v>1588</v>
      </c>
      <c r="B17" s="10">
        <f t="array" ref="B17">SUM(SIGN(FREQUENCY(IFERROR(IF('Data Dump'!$C:$C=A17,MATCH('Data Dump'!$B:$B,'Data Dump'!$B:$B,0)),""),ROW('Data Dump'!$A$1:$A$2000)-ROW('Data Dump'!$A$1)+1)))</f>
        <v>72</v>
      </c>
      <c r="D17" s="8">
        <f t="shared" si="4"/>
        <v>0</v>
      </c>
      <c r="F17" s="8">
        <f t="shared" si="5"/>
        <v>0</v>
      </c>
      <c r="H17" s="8">
        <f t="shared" si="6"/>
        <v>0</v>
      </c>
      <c r="J17">
        <f t="shared" si="7"/>
        <v>0</v>
      </c>
    </row>
    <row r="18" spans="1:18">
      <c r="A18" s="12" t="s">
        <v>11</v>
      </c>
      <c r="B18" s="10">
        <f t="array" ref="B18">SUM(SIGN(FREQUENCY(IFERROR(IF('Data Dump'!$C:$C=A18,MATCH('Data Dump'!$B:$B,'Data Dump'!$B:$B,0)),""),ROW('Data Dump'!$A$1:$A$2000)-ROW('Data Dump'!$A$1)+1)))</f>
        <v>17</v>
      </c>
      <c r="D18" s="8">
        <f t="shared" si="4"/>
        <v>0</v>
      </c>
      <c r="F18" s="8">
        <f t="shared" si="5"/>
        <v>0</v>
      </c>
      <c r="H18" s="8">
        <f t="shared" si="6"/>
        <v>0</v>
      </c>
      <c r="J18">
        <f t="shared" si="7"/>
        <v>0</v>
      </c>
    </row>
    <row r="19" spans="1:18">
      <c r="A19" s="12" t="s">
        <v>900</v>
      </c>
      <c r="B19" s="10">
        <f t="array" ref="B19">SUM(SIGN(FREQUENCY(IFERROR(IF('Data Dump'!$C:$C=A19,MATCH('Data Dump'!$B:$B,'Data Dump'!$B:$B,0)),""),ROW('Data Dump'!$A$1:$A$2000)-ROW('Data Dump'!$A$1)+1)))</f>
        <v>107</v>
      </c>
      <c r="D19" s="8">
        <f t="shared" si="4"/>
        <v>0</v>
      </c>
      <c r="F19" s="8">
        <f t="shared" si="5"/>
        <v>0</v>
      </c>
      <c r="H19" s="8">
        <f t="shared" si="6"/>
        <v>0</v>
      </c>
      <c r="J19">
        <f t="shared" si="7"/>
        <v>0</v>
      </c>
    </row>
    <row r="20" spans="1:18">
      <c r="A20" s="12" t="s">
        <v>2157</v>
      </c>
      <c r="B20" s="10">
        <f t="array" ref="B20">SUM(SIGN(FREQUENCY(IFERROR(IF('Data Dump'!$C:$C=A20,MATCH('Data Dump'!$B:$B,'Data Dump'!$B:$B,0)),""),ROW('Data Dump'!$A$1:$A$2000)-ROW('Data Dump'!$A$1)+1)))</f>
        <v>58</v>
      </c>
      <c r="D20" s="8">
        <f t="shared" si="4"/>
        <v>0</v>
      </c>
      <c r="F20" s="8">
        <f t="shared" si="5"/>
        <v>0</v>
      </c>
      <c r="H20" s="8">
        <f t="shared" si="6"/>
        <v>0</v>
      </c>
      <c r="J20">
        <f t="shared" si="7"/>
        <v>0</v>
      </c>
    </row>
    <row r="21" spans="1:18">
      <c r="A21" s="12" t="s">
        <v>3529</v>
      </c>
      <c r="B21" s="10">
        <f t="array" ref="B21">SUM(SIGN(FREQUENCY(IFERROR(IF('Data Dump'!$C:$C=A21,MATCH('Data Dump'!$B:$B,'Data Dump'!$B:$B,0)),""),ROW('Data Dump'!$A$1:$A$2000)-ROW('Data Dump'!$A$1)+1)))</f>
        <v>25</v>
      </c>
      <c r="D21" s="8">
        <f t="shared" si="4"/>
        <v>0</v>
      </c>
      <c r="F21" s="8">
        <f t="shared" si="5"/>
        <v>0</v>
      </c>
      <c r="H21" s="8">
        <f t="shared" si="6"/>
        <v>0</v>
      </c>
      <c r="J21">
        <f t="shared" si="7"/>
        <v>0</v>
      </c>
    </row>
    <row r="22" spans="1:18">
      <c r="B22" s="10"/>
    </row>
    <row r="23" spans="1:18" ht="127.5">
      <c r="A23" s="12"/>
      <c r="B23" s="13" t="s">
        <v>3638</v>
      </c>
      <c r="C23" s="13" t="s">
        <v>3513</v>
      </c>
      <c r="D23" s="13" t="s">
        <v>3645</v>
      </c>
      <c r="E23" s="13" t="s">
        <v>320</v>
      </c>
      <c r="F23" s="13" t="s">
        <v>3645</v>
      </c>
      <c r="G23" s="13" t="s">
        <v>2547</v>
      </c>
      <c r="H23" s="13" t="s">
        <v>3645</v>
      </c>
      <c r="I23" s="13" t="s">
        <v>1588</v>
      </c>
      <c r="J23" s="13" t="s">
        <v>3645</v>
      </c>
      <c r="K23" s="13" t="s">
        <v>11</v>
      </c>
      <c r="L23" s="13" t="s">
        <v>3645</v>
      </c>
      <c r="M23" s="13" t="s">
        <v>900</v>
      </c>
      <c r="N23" s="13" t="s">
        <v>3645</v>
      </c>
      <c r="O23" s="13" t="s">
        <v>3643</v>
      </c>
      <c r="P23" s="13" t="s">
        <v>3645</v>
      </c>
      <c r="Q23" s="13" t="s">
        <v>3644</v>
      </c>
      <c r="R23" s="13" t="s">
        <v>3645</v>
      </c>
    </row>
    <row r="24" spans="1:18">
      <c r="A24" s="12" t="s">
        <v>120</v>
      </c>
      <c r="B24" s="10">
        <f t="array" ref="B24">SUM(SIGN(FREQUENCY(IFERROR(IF('Data Dump'!$A:$A=A24,MATCH('Data Dump'!$B:$B,'Data Dump'!$B:$B,0)),""),ROW('Data Dump'!$A$1:$A$2000)-ROW('Data Dump'!$A$1)+1)))</f>
        <v>45</v>
      </c>
      <c r="D24" s="8">
        <f>C24/B24</f>
        <v>0</v>
      </c>
      <c r="F24" s="8">
        <f>E24/B24</f>
        <v>0</v>
      </c>
      <c r="H24" s="8">
        <f>G24/B24</f>
        <v>0</v>
      </c>
      <c r="J24" s="8">
        <f>I24/B24</f>
        <v>0</v>
      </c>
      <c r="L24">
        <f>K24/B24</f>
        <v>0</v>
      </c>
      <c r="N24" s="8">
        <f>M24/B24</f>
        <v>0</v>
      </c>
      <c r="P24" s="8">
        <f>O24/B24</f>
        <v>0</v>
      </c>
      <c r="R24" s="8">
        <f>Q24/B24</f>
        <v>0</v>
      </c>
    </row>
    <row r="25" spans="1:18">
      <c r="A25" s="12" t="s">
        <v>9</v>
      </c>
      <c r="B25" s="10">
        <f t="array" ref="B25">SUM(SIGN(FREQUENCY(IFERROR(IF('Data Dump'!$A:$A=A25,MATCH('Data Dump'!$B:$B,'Data Dump'!$B:$B,0)),""),ROW('Data Dump'!$A$1:$A$2000)-ROW('Data Dump'!$A$1)+1)))</f>
        <v>66</v>
      </c>
      <c r="D25" s="8">
        <f t="shared" ref="D25:D31" si="8">C25/B25</f>
        <v>0</v>
      </c>
      <c r="F25" s="8">
        <f t="shared" ref="F25:F31" si="9">E25/B25</f>
        <v>0</v>
      </c>
      <c r="H25" s="8">
        <f t="shared" ref="H25:H31" si="10">G25/B25</f>
        <v>0</v>
      </c>
      <c r="J25" s="8">
        <f t="shared" ref="J25:J31" si="11">I25/B25</f>
        <v>0</v>
      </c>
      <c r="L25">
        <f t="shared" ref="L25:L31" si="12">K25/B25</f>
        <v>0</v>
      </c>
      <c r="N25" s="8">
        <f t="shared" ref="N25:N31" si="13">M25/B25</f>
        <v>0</v>
      </c>
      <c r="P25" s="8">
        <f t="shared" ref="P25:P31" si="14">O25/B25</f>
        <v>0</v>
      </c>
      <c r="R25" s="8">
        <f t="shared" ref="R25:R31" si="15">Q25/B25</f>
        <v>0</v>
      </c>
    </row>
    <row r="26" spans="1:18">
      <c r="A26" s="12" t="s">
        <v>73</v>
      </c>
      <c r="B26" s="10">
        <f t="array" ref="B26">SUM(SIGN(FREQUENCY(IFERROR(IF('Data Dump'!$A:$A=A26,MATCH('Data Dump'!$B:$B,'Data Dump'!$B:$B,0)),""),ROW('Data Dump'!$A$1:$A$2000)-ROW('Data Dump'!$A$1)+1)))</f>
        <v>81</v>
      </c>
      <c r="D26" s="8">
        <f t="shared" si="8"/>
        <v>0</v>
      </c>
      <c r="F26" s="8">
        <f t="shared" si="9"/>
        <v>0</v>
      </c>
      <c r="H26" s="8">
        <f t="shared" si="10"/>
        <v>0</v>
      </c>
      <c r="J26" s="8">
        <f t="shared" si="11"/>
        <v>0</v>
      </c>
      <c r="L26">
        <f t="shared" si="12"/>
        <v>0</v>
      </c>
      <c r="N26" s="8">
        <f t="shared" si="13"/>
        <v>0</v>
      </c>
      <c r="P26" s="8">
        <f t="shared" si="14"/>
        <v>0</v>
      </c>
      <c r="R26" s="8">
        <f t="shared" si="15"/>
        <v>0</v>
      </c>
    </row>
    <row r="27" spans="1:18">
      <c r="A27" s="12" t="s">
        <v>1000</v>
      </c>
      <c r="B27" s="10">
        <f t="array" ref="B27">SUM(SIGN(FREQUENCY(IFERROR(IF('Data Dump'!$A:$A=A27,MATCH('Data Dump'!$B:$B,'Data Dump'!$B:$B,0)),""),ROW('Data Dump'!$A$1:$A$2000)-ROW('Data Dump'!$A$1)+1)))</f>
        <v>54</v>
      </c>
      <c r="D27" s="8">
        <f t="shared" si="8"/>
        <v>0</v>
      </c>
      <c r="F27" s="8">
        <f t="shared" si="9"/>
        <v>0</v>
      </c>
      <c r="H27" s="8">
        <f t="shared" si="10"/>
        <v>0</v>
      </c>
      <c r="J27" s="8">
        <f t="shared" si="11"/>
        <v>0</v>
      </c>
      <c r="L27">
        <f t="shared" si="12"/>
        <v>0</v>
      </c>
      <c r="N27" s="8">
        <f t="shared" si="13"/>
        <v>0</v>
      </c>
      <c r="P27" s="8">
        <f t="shared" si="14"/>
        <v>0</v>
      </c>
      <c r="R27" s="8">
        <f t="shared" si="15"/>
        <v>0</v>
      </c>
    </row>
    <row r="28" spans="1:18">
      <c r="A28" s="12" t="s">
        <v>34</v>
      </c>
      <c r="B28" s="10">
        <f t="array" ref="B28">SUM(SIGN(FREQUENCY(IFERROR(IF('Data Dump'!$A:$A=A28,MATCH('Data Dump'!$B:$B,'Data Dump'!$B:$B,0)),""),ROW('Data Dump'!$A$1:$A$2000)-ROW('Data Dump'!$A$1)+1)))</f>
        <v>95</v>
      </c>
      <c r="D28" s="8">
        <f t="shared" si="8"/>
        <v>0</v>
      </c>
      <c r="F28" s="8">
        <f t="shared" si="9"/>
        <v>0</v>
      </c>
      <c r="H28" s="8">
        <f t="shared" si="10"/>
        <v>0</v>
      </c>
      <c r="J28" s="8">
        <f t="shared" si="11"/>
        <v>0</v>
      </c>
      <c r="L28">
        <f t="shared" si="12"/>
        <v>0</v>
      </c>
      <c r="N28" s="8">
        <f t="shared" si="13"/>
        <v>0</v>
      </c>
      <c r="P28" s="8">
        <f t="shared" si="14"/>
        <v>0</v>
      </c>
      <c r="R28" s="8">
        <f t="shared" si="15"/>
        <v>0</v>
      </c>
    </row>
    <row r="29" spans="1:18">
      <c r="A29" s="12" t="s">
        <v>617</v>
      </c>
      <c r="B29" s="10">
        <f t="array" ref="B29">SUM(SIGN(FREQUENCY(IFERROR(IF('Data Dump'!$A:$A=A29,MATCH('Data Dump'!$B:$B,'Data Dump'!$B:$B,0)),""),ROW('Data Dump'!$A$1:$A$2000)-ROW('Data Dump'!$A$1)+1)))</f>
        <v>47</v>
      </c>
      <c r="D29" s="8">
        <f t="shared" si="8"/>
        <v>0</v>
      </c>
      <c r="F29" s="8">
        <f t="shared" si="9"/>
        <v>0</v>
      </c>
      <c r="H29" s="8">
        <f t="shared" si="10"/>
        <v>0</v>
      </c>
      <c r="J29" s="8">
        <f t="shared" si="11"/>
        <v>0</v>
      </c>
      <c r="L29">
        <f t="shared" si="12"/>
        <v>0</v>
      </c>
      <c r="N29" s="8">
        <f t="shared" si="13"/>
        <v>0</v>
      </c>
      <c r="P29" s="8">
        <f t="shared" si="14"/>
        <v>0</v>
      </c>
      <c r="R29" s="8">
        <f t="shared" si="15"/>
        <v>0</v>
      </c>
    </row>
    <row r="30" spans="1:18">
      <c r="A30" s="12" t="s">
        <v>2333</v>
      </c>
      <c r="B30" s="10">
        <f t="array" ref="B30">SUM(SIGN(FREQUENCY(IFERROR(IF('Data Dump'!$A:$A=A30,MATCH('Data Dump'!$B:$B,'Data Dump'!$B:$B,0)),""),ROW('Data Dump'!$A$1:$A$2000)-ROW('Data Dump'!$A$1)+1)))</f>
        <v>7</v>
      </c>
      <c r="D30" s="8">
        <f t="shared" si="8"/>
        <v>0</v>
      </c>
      <c r="F30" s="8">
        <f t="shared" si="9"/>
        <v>0</v>
      </c>
      <c r="H30" s="8">
        <f t="shared" si="10"/>
        <v>0</v>
      </c>
      <c r="J30" s="8">
        <f t="shared" si="11"/>
        <v>0</v>
      </c>
      <c r="L30">
        <f t="shared" si="12"/>
        <v>0</v>
      </c>
      <c r="N30" s="8">
        <f t="shared" si="13"/>
        <v>0</v>
      </c>
      <c r="P30" s="8">
        <f t="shared" si="14"/>
        <v>0</v>
      </c>
      <c r="R30" s="8">
        <f t="shared" si="15"/>
        <v>0</v>
      </c>
    </row>
    <row r="31" spans="1:18">
      <c r="A31" s="12" t="s">
        <v>629</v>
      </c>
      <c r="B31" s="10">
        <f t="array" ref="B31">SUM(SIGN(FREQUENCY(IFERROR(IF('Data Dump'!$A:$A=A31,MATCH('Data Dump'!$B:$B,'Data Dump'!$B:$B,0)),""),ROW('Data Dump'!$A$1:$A$2000)-ROW('Data Dump'!$A$1)+1)))</f>
        <v>99</v>
      </c>
      <c r="D31" s="8">
        <f t="shared" si="8"/>
        <v>0</v>
      </c>
      <c r="F31" s="8">
        <f t="shared" si="9"/>
        <v>0</v>
      </c>
      <c r="H31" s="8">
        <f t="shared" si="10"/>
        <v>0</v>
      </c>
      <c r="J31" s="8">
        <f t="shared" si="11"/>
        <v>0</v>
      </c>
      <c r="L31">
        <f t="shared" si="12"/>
        <v>0</v>
      </c>
      <c r="N31" s="8">
        <f t="shared" si="13"/>
        <v>0</v>
      </c>
      <c r="P31" s="8">
        <f t="shared" si="14"/>
        <v>0</v>
      </c>
      <c r="R31" s="8">
        <f t="shared" si="1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>
      <selection activeCell="B23" sqref="B23"/>
    </sheetView>
  </sheetViews>
  <sheetFormatPr defaultRowHeight="15"/>
  <cols>
    <col min="1" max="1" width="36.140625" bestFit="1" customWidth="1"/>
    <col min="2" max="2" width="21.85546875" bestFit="1" customWidth="1"/>
    <col min="3" max="3" width="20.42578125" bestFit="1" customWidth="1"/>
    <col min="4" max="4" width="20.42578125" customWidth="1"/>
    <col min="5" max="5" width="16.28515625" bestFit="1" customWidth="1"/>
    <col min="6" max="6" width="16.28515625" customWidth="1"/>
    <col min="7" max="7" width="11.5703125" bestFit="1" customWidth="1"/>
    <col min="8" max="8" width="11.5703125" customWidth="1"/>
  </cols>
  <sheetData>
    <row r="1" spans="1:11">
      <c r="A1" s="15" t="s">
        <v>3646</v>
      </c>
      <c r="B1" s="16" t="s">
        <v>3647</v>
      </c>
      <c r="C1" s="17" t="s">
        <v>3648</v>
      </c>
      <c r="D1" s="17"/>
      <c r="E1" s="18"/>
      <c r="F1" s="18"/>
      <c r="G1" s="18"/>
      <c r="H1" s="18"/>
      <c r="I1" s="18"/>
      <c r="J1" s="18"/>
      <c r="K1" s="18"/>
    </row>
    <row r="2" spans="1:11">
      <c r="A2" s="15"/>
      <c r="B2" s="19"/>
      <c r="C2" s="20" t="str">
        <f t="array" ref="C2">IFERROR(INDEX(Table2[Lead Status],MATCH(1,IF(Table2[Lead Status]&lt;&gt;"",IF(ISNA(MATCH(Table2[Lead Status],$A2:A2,0)),1)),0)),"")</f>
        <v>Open - Not Contacted</v>
      </c>
      <c r="D2" s="20" t="s">
        <v>3649</v>
      </c>
      <c r="E2" s="21" t="str">
        <f t="array" ref="E2">IFERROR(INDEX(Table2[Lead Status],MATCH(1,IF(Table2[Lead Status]&lt;&gt;"",IF(ISNA(MATCH(Table2[Lead Status],$A2:C2,0)),1)),0)),"")</f>
        <v>Actively Working</v>
      </c>
      <c r="F2" s="20" t="s">
        <v>3649</v>
      </c>
      <c r="G2" s="21" t="str">
        <f t="array" ref="G2">IFERROR(INDEX(Table2[Lead Status],MATCH(1,IF(Table2[Lead Status]&lt;&gt;"",IF(ISNA(MATCH(Table2[Lead Status],$A2:E2,0)),1)),0)),"")</f>
        <v>Unqualified</v>
      </c>
      <c r="H2" s="20" t="s">
        <v>3649</v>
      </c>
      <c r="I2" s="21" t="str">
        <f t="array" ref="I2">IFERROR(INDEX(Table2[Lead Status],MATCH(1,IF(Table2[Lead Status]&lt;&gt;"",IF(ISNA(MATCH(Table2[Lead Status],$A2:G2,0)),1)),0)),"")</f>
        <v>Nurturing</v>
      </c>
      <c r="J2" s="20" t="s">
        <v>3649</v>
      </c>
      <c r="K2" s="21" t="str">
        <f t="array" ref="K2">IFERROR(INDEX(Table2[Lead Status],MATCH(1,IF(Table2[Lead Status]&lt;&gt;"",IF(ISNA(MATCH(Table2[Lead Status],$A2:J2,0)),1)),0)),"")</f>
        <v/>
      </c>
    </row>
    <row r="3" spans="1:11">
      <c r="A3" s="22" t="str">
        <f t="array" ref="A3">IFERROR(INDEX(Table2[Vertical],MATCH(1,IF(Table2[Vertical]&lt;&gt;"",IF(ISNA(MATCH(Table2[Vertical],A$1:A2,0)),1)),0)),"")</f>
        <v>Convenience Stores / Gas Stations</v>
      </c>
      <c r="B3" s="23">
        <f t="array" ref="B3">IF(A3="","",SUM(IF(FREQUENCY(IFERROR(IF(Table2[Vertical]=A3,MATCH(Table2[Company / Account],Table2[Company / Account],0)),""),ROW(Table2[Vertical])-ROW(Table2[#Headers])),1)))</f>
        <v>45</v>
      </c>
      <c r="C3" s="24">
        <f t="array" ref="C3">IF(OR(C$2="",$A3=""),"",SUM(IF(FREQUENCY(IFERROR(IF(Table2[Vertical]=$A3,IF(Table2[Lead Status]=C$2,MATCH(Table2[Company / Account],Table2[Company / Account],0))),""),ROW(Table2[Vertical])-ROW(Table2[#Headers])),1)))</f>
        <v>34</v>
      </c>
      <c r="D3" s="26">
        <f>C3/B3</f>
        <v>0.75555555555555554</v>
      </c>
      <c r="E3" s="25">
        <f t="array" ref="E3">IF(OR(E$2="",$A3=""),"",SUM(IF(FREQUENCY(IFERROR(IF(Table2[Vertical]=$A3,IF(Table2[Lead Status]=E$2,MATCH(Table2[Company / Account],Table2[Company / Account],0))),""),ROW(Table2[Vertical])-ROW(Table2[#Headers])),1)))</f>
        <v>17</v>
      </c>
      <c r="F3" s="27">
        <f>E3/B3</f>
        <v>0.37777777777777777</v>
      </c>
      <c r="G3" s="25">
        <f t="array" ref="G3">IF(OR(G$2="",$A3=""),"",SUM(IF(FREQUENCY(IFERROR(IF(Table2[Vertical]=$A3,IF(Table2[Lead Status]=G$2,MATCH(Table2[Company / Account],Table2[Company / Account],0))),""),ROW(Table2[Vertical])-ROW(Table2[#Headers])),1)))</f>
        <v>6</v>
      </c>
      <c r="H3" s="27">
        <f>G3/B3</f>
        <v>0.13333333333333333</v>
      </c>
      <c r="I3" s="25">
        <f t="array" ref="I3">IF(OR(I$2="",$A3=""),"",SUM(IF(FREQUENCY(IFERROR(IF(Table2[Vertical]=$A3,IF(Table2[Lead Status]=I$2,MATCH(Table2[Company / Account],Table2[Company / Account],0))),""),ROW(Table2[Vertical])-ROW(Table2[#Headers])),1)))</f>
        <v>6</v>
      </c>
      <c r="J3" s="27">
        <f>I3/B3</f>
        <v>0.13333333333333333</v>
      </c>
      <c r="K3" s="25" t="str">
        <f t="array" ref="K3">IF(OR(K$2="",$A3=""),"",SUM(IF(FREQUENCY(IFERROR(IF(Table2[Vertical]=$A3,IF(Table2[Lead Status]=K$2,MATCH(Table2[Company / Account],Table2[Company / Account],0))),""),ROW(Table2[Vertical])-ROW(Table2[#Headers])),1)))</f>
        <v/>
      </c>
    </row>
    <row r="4" spans="1:11">
      <c r="A4" s="22" t="str">
        <f t="array" ref="A4">IFERROR(INDEX(Table2[Vertical],MATCH(1,IF(Table2[Vertical]&lt;&gt;"",IF(ISNA(MATCH(Table2[Vertical],A$1:A3,0)),1)),0)),"")</f>
        <v>Restaurants - Full Serve / Casual Dining</v>
      </c>
      <c r="B4" s="23">
        <f t="array" ref="B4">IF(A4="","",SUM(IF(FREQUENCY(IFERROR(IF(Table2[Vertical]=A4,MATCH(Table2[Company / Account],Table2[Company / Account],0)),""),ROW(Table2[Vertical])-ROW(Table2[#Headers])),1)))</f>
        <v>66</v>
      </c>
      <c r="C4" s="24">
        <f t="array" ref="C4">IF(OR(C$2="",$A4=""),"",SUM(IF(FREQUENCY(IFERROR(IF(Table2[Vertical]=$A4,IF(Table2[Lead Status]=C$2,MATCH(Table2[Company / Account],Table2[Company / Account],0))),""),ROW(Table2[Vertical])-ROW(Table2[#Headers])),1)))</f>
        <v>48</v>
      </c>
      <c r="D4" s="26">
        <f t="shared" ref="D4:D10" si="0">C4/B4</f>
        <v>0.72727272727272729</v>
      </c>
      <c r="E4" s="25">
        <f t="array" ref="E4">IF(OR(E$2="",$A4=""),"",SUM(IF(FREQUENCY(IFERROR(IF(Table2[Vertical]=$A4,IF(Table2[Lead Status]=E$2,MATCH(Table2[Company / Account],Table2[Company / Account],0))),""),ROW(Table2[Vertical])-ROW(Table2[#Headers])),1)))</f>
        <v>16</v>
      </c>
      <c r="F4" s="27">
        <f t="shared" ref="F4:F10" si="1">E4/B4</f>
        <v>0.24242424242424243</v>
      </c>
      <c r="G4" s="25">
        <f t="array" ref="G4">IF(OR(G$2="",$A4=""),"",SUM(IF(FREQUENCY(IFERROR(IF(Table2[Vertical]=$A4,IF(Table2[Lead Status]=G$2,MATCH(Table2[Company / Account],Table2[Company / Account],0))),""),ROW(Table2[Vertical])-ROW(Table2[#Headers])),1)))</f>
        <v>5</v>
      </c>
      <c r="H4" s="27">
        <f t="shared" ref="H4:H10" si="2">G4/B4</f>
        <v>7.575757575757576E-2</v>
      </c>
      <c r="I4" s="25">
        <f t="array" ref="I4">IF(OR(I$2="",$A4=""),"",SUM(IF(FREQUENCY(IFERROR(IF(Table2[Vertical]=$A4,IF(Table2[Lead Status]=I$2,MATCH(Table2[Company / Account],Table2[Company / Account],0))),""),ROW(Table2[Vertical])-ROW(Table2[#Headers])),1)))</f>
        <v>3</v>
      </c>
      <c r="J4" s="27">
        <f t="shared" ref="J4:J10" si="3">I4/B4</f>
        <v>4.5454545454545456E-2</v>
      </c>
      <c r="K4" s="25" t="str">
        <f t="array" ref="K4">IF(OR(K$2="",$A4=""),"",SUM(IF(FREQUENCY(IFERROR(IF(Table2[Vertical]=$A4,IF(Table2[Lead Status]=K$2,MATCH(Table2[Company / Account],Table2[Company / Account],0))),""),ROW(Table2[Vertical])-ROW(Table2[#Headers])),1)))</f>
        <v/>
      </c>
    </row>
    <row r="5" spans="1:11">
      <c r="A5" s="22" t="str">
        <f t="array" ref="A5">IFERROR(INDEX(Table2[Vertical],MATCH(1,IF(Table2[Vertical]&lt;&gt;"",IF(ISNA(MATCH(Table2[Vertical],A$1:A4,0)),1)),0)),"")</f>
        <v>Restaurants - Quick Serve / Fast Food</v>
      </c>
      <c r="B5" s="23">
        <f t="array" ref="B5">IF(A5="","",SUM(IF(FREQUENCY(IFERROR(IF(Table2[Vertical]=A5,MATCH(Table2[Company / Account],Table2[Company / Account],0)),""),ROW(Table2[Vertical])-ROW(Table2[#Headers])),1)))</f>
        <v>81</v>
      </c>
      <c r="C5" s="24">
        <f t="array" ref="C5">IF(OR(C$2="",$A5=""),"",SUM(IF(FREQUENCY(IFERROR(IF(Table2[Vertical]=$A5,IF(Table2[Lead Status]=C$2,MATCH(Table2[Company / Account],Table2[Company / Account],0))),""),ROW(Table2[Vertical])-ROW(Table2[#Headers])),1)))</f>
        <v>67</v>
      </c>
      <c r="D5" s="26">
        <f t="shared" si="0"/>
        <v>0.8271604938271605</v>
      </c>
      <c r="E5" s="25">
        <f t="array" ref="E5">IF(OR(E$2="",$A5=""),"",SUM(IF(FREQUENCY(IFERROR(IF(Table2[Vertical]=$A5,IF(Table2[Lead Status]=E$2,MATCH(Table2[Company / Account],Table2[Company / Account],0))),""),ROW(Table2[Vertical])-ROW(Table2[#Headers])),1)))</f>
        <v>18</v>
      </c>
      <c r="F5" s="27">
        <f t="shared" si="1"/>
        <v>0.22222222222222221</v>
      </c>
      <c r="G5" s="25">
        <f t="array" ref="G5">IF(OR(G$2="",$A5=""),"",SUM(IF(FREQUENCY(IFERROR(IF(Table2[Vertical]=$A5,IF(Table2[Lead Status]=G$2,MATCH(Table2[Company / Account],Table2[Company / Account],0))),""),ROW(Table2[Vertical])-ROW(Table2[#Headers])),1)))</f>
        <v>2</v>
      </c>
      <c r="H5" s="27">
        <f t="shared" si="2"/>
        <v>2.4691358024691357E-2</v>
      </c>
      <c r="I5" s="25">
        <f t="array" ref="I5">IF(OR(I$2="",$A5=""),"",SUM(IF(FREQUENCY(IFERROR(IF(Table2[Vertical]=$A5,IF(Table2[Lead Status]=I$2,MATCH(Table2[Company / Account],Table2[Company / Account],0))),""),ROW(Table2[Vertical])-ROW(Table2[#Headers])),1)))</f>
        <v>1</v>
      </c>
      <c r="J5" s="27">
        <f t="shared" si="3"/>
        <v>1.2345679012345678E-2</v>
      </c>
      <c r="K5" s="25" t="str">
        <f t="array" ref="K5">IF(OR(K$2="",$A5=""),"",SUM(IF(FREQUENCY(IFERROR(IF(Table2[Vertical]=$A5,IF(Table2[Lead Status]=K$2,MATCH(Table2[Company / Account],Table2[Company / Account],0))),""),ROW(Table2[Vertical])-ROW(Table2[#Headers])),1)))</f>
        <v/>
      </c>
    </row>
    <row r="6" spans="1:11">
      <c r="A6" s="22" t="str">
        <f t="array" ref="A6">IFERROR(INDEX(Table2[Vertical],MATCH(1,IF(Table2[Vertical]&lt;&gt;"",IF(ISNA(MATCH(Table2[Vertical],A$1:A5,0)),1)),0)),"")</f>
        <v>Retail - Big Box</v>
      </c>
      <c r="B6" s="23">
        <f t="array" ref="B6">IF(A6="","",SUM(IF(FREQUENCY(IFERROR(IF(Table2[Vertical]=A6,MATCH(Table2[Company / Account],Table2[Company / Account],0)),""),ROW(Table2[Vertical])-ROW(Table2[#Headers])),1)))</f>
        <v>54</v>
      </c>
      <c r="C6" s="24">
        <f t="array" ref="C6">IF(OR(C$2="",$A6=""),"",SUM(IF(FREQUENCY(IFERROR(IF(Table2[Vertical]=$A6,IF(Table2[Lead Status]=C$2,MATCH(Table2[Company / Account],Table2[Company / Account],0))),""),ROW(Table2[Vertical])-ROW(Table2[#Headers])),1)))</f>
        <v>39</v>
      </c>
      <c r="D6" s="26">
        <f t="shared" si="0"/>
        <v>0.72222222222222221</v>
      </c>
      <c r="E6" s="25">
        <f t="array" ref="E6">IF(OR(E$2="",$A6=""),"",SUM(IF(FREQUENCY(IFERROR(IF(Table2[Vertical]=$A6,IF(Table2[Lead Status]=E$2,MATCH(Table2[Company / Account],Table2[Company / Account],0))),""),ROW(Table2[Vertical])-ROW(Table2[#Headers])),1)))</f>
        <v>26</v>
      </c>
      <c r="F6" s="27">
        <f t="shared" si="1"/>
        <v>0.48148148148148145</v>
      </c>
      <c r="G6" s="25">
        <f t="array" ref="G6">IF(OR(G$2="",$A6=""),"",SUM(IF(FREQUENCY(IFERROR(IF(Table2[Vertical]=$A6,IF(Table2[Lead Status]=G$2,MATCH(Table2[Company / Account],Table2[Company / Account],0))),""),ROW(Table2[Vertical])-ROW(Table2[#Headers])),1)))</f>
        <v>4</v>
      </c>
      <c r="H6" s="27">
        <f t="shared" si="2"/>
        <v>7.407407407407407E-2</v>
      </c>
      <c r="I6" s="25">
        <f t="array" ref="I6">IF(OR(I$2="",$A6=""),"",SUM(IF(FREQUENCY(IFERROR(IF(Table2[Vertical]=$A6,IF(Table2[Lead Status]=I$2,MATCH(Table2[Company / Account],Table2[Company / Account],0))),""),ROW(Table2[Vertical])-ROW(Table2[#Headers])),1)))</f>
        <v>0</v>
      </c>
      <c r="J6" s="27">
        <f t="shared" si="3"/>
        <v>0</v>
      </c>
      <c r="K6" s="25" t="str">
        <f t="array" ref="K6">IF(OR(K$2="",$A6=""),"",SUM(IF(FREQUENCY(IFERROR(IF(Table2[Vertical]=$A6,IF(Table2[Lead Status]=K$2,MATCH(Table2[Company / Account],Table2[Company / Account],0))),""),ROW(Table2[Vertical])-ROW(Table2[#Headers])),1)))</f>
        <v/>
      </c>
    </row>
    <row r="7" spans="1:11">
      <c r="A7" s="22" t="str">
        <f t="array" ref="A7">IFERROR(INDEX(Table2[Vertical],MATCH(1,IF(Table2[Vertical]&lt;&gt;"",IF(ISNA(MATCH(Table2[Vertical],A$1:A6,0)),1)),0)),"")</f>
        <v>Retail - Grocery</v>
      </c>
      <c r="B7" s="23">
        <f t="array" ref="B7">IF(A7="","",SUM(IF(FREQUENCY(IFERROR(IF(Table2[Vertical]=A7,MATCH(Table2[Company / Account],Table2[Company / Account],0)),""),ROW(Table2[Vertical])-ROW(Table2[#Headers])),1)))</f>
        <v>95</v>
      </c>
      <c r="C7" s="24">
        <f t="array" ref="C7">IF(OR(C$2="",$A7=""),"",SUM(IF(FREQUENCY(IFERROR(IF(Table2[Vertical]=$A7,IF(Table2[Lead Status]=C$2,MATCH(Table2[Company / Account],Table2[Company / Account],0))),""),ROW(Table2[Vertical])-ROW(Table2[#Headers])),1)))</f>
        <v>60</v>
      </c>
      <c r="D7" s="26">
        <f t="shared" si="0"/>
        <v>0.63157894736842102</v>
      </c>
      <c r="E7" s="25">
        <f t="array" ref="E7">IF(OR(E$2="",$A7=""),"",SUM(IF(FREQUENCY(IFERROR(IF(Table2[Vertical]=$A7,IF(Table2[Lead Status]=E$2,MATCH(Table2[Company / Account],Table2[Company / Account],0))),""),ROW(Table2[Vertical])-ROW(Table2[#Headers])),1)))</f>
        <v>46</v>
      </c>
      <c r="F7" s="27">
        <f t="shared" si="1"/>
        <v>0.48421052631578948</v>
      </c>
      <c r="G7" s="25">
        <f t="array" ref="G7">IF(OR(G$2="",$A7=""),"",SUM(IF(FREQUENCY(IFERROR(IF(Table2[Vertical]=$A7,IF(Table2[Lead Status]=G$2,MATCH(Table2[Company / Account],Table2[Company / Account],0))),""),ROW(Table2[Vertical])-ROW(Table2[#Headers])),1)))</f>
        <v>1</v>
      </c>
      <c r="H7" s="27">
        <f t="shared" si="2"/>
        <v>1.0526315789473684E-2</v>
      </c>
      <c r="I7" s="25">
        <f t="array" ref="I7">IF(OR(I$2="",$A7=""),"",SUM(IF(FREQUENCY(IFERROR(IF(Table2[Vertical]=$A7,IF(Table2[Lead Status]=I$2,MATCH(Table2[Company / Account],Table2[Company / Account],0))),""),ROW(Table2[Vertical])-ROW(Table2[#Headers])),1)))</f>
        <v>6</v>
      </c>
      <c r="J7" s="27">
        <f t="shared" si="3"/>
        <v>6.3157894736842107E-2</v>
      </c>
      <c r="K7" s="25" t="str">
        <f t="array" ref="K7">IF(OR(K$2="",$A7=""),"",SUM(IF(FREQUENCY(IFERROR(IF(Table2[Vertical]=$A7,IF(Table2[Lead Status]=K$2,MATCH(Table2[Company / Account],Table2[Company / Account],0))),""),ROW(Table2[Vertical])-ROW(Table2[#Headers])),1)))</f>
        <v/>
      </c>
    </row>
    <row r="8" spans="1:11">
      <c r="A8" s="22" t="str">
        <f t="array" ref="A8">IFERROR(INDEX(Table2[Vertical],MATCH(1,IF(Table2[Vertical]&lt;&gt;"",IF(ISNA(MATCH(Table2[Vertical],A$1:A7,0)),1)),0)),"")</f>
        <v>Retail - Medium Box</v>
      </c>
      <c r="B8" s="23">
        <f t="array" ref="B8">IF(A8="","",SUM(IF(FREQUENCY(IFERROR(IF(Table2[Vertical]=A8,MATCH(Table2[Company / Account],Table2[Company / Account],0)),""),ROW(Table2[Vertical])-ROW(Table2[#Headers])),1)))</f>
        <v>47</v>
      </c>
      <c r="C8" s="24">
        <f t="array" ref="C8">IF(OR(C$2="",$A8=""),"",SUM(IF(FREQUENCY(IFERROR(IF(Table2[Vertical]=$A8,IF(Table2[Lead Status]=C$2,MATCH(Table2[Company / Account],Table2[Company / Account],0))),""),ROW(Table2[Vertical])-ROW(Table2[#Headers])),1)))</f>
        <v>35</v>
      </c>
      <c r="D8" s="26">
        <f t="shared" si="0"/>
        <v>0.74468085106382975</v>
      </c>
      <c r="E8" s="25">
        <f t="array" ref="E8">IF(OR(E$2="",$A8=""),"",SUM(IF(FREQUENCY(IFERROR(IF(Table2[Vertical]=$A8,IF(Table2[Lead Status]=E$2,MATCH(Table2[Company / Account],Table2[Company / Account],0))),""),ROW(Table2[Vertical])-ROW(Table2[#Headers])),1)))</f>
        <v>21</v>
      </c>
      <c r="F8" s="27">
        <f t="shared" si="1"/>
        <v>0.44680851063829785</v>
      </c>
      <c r="G8" s="25">
        <f t="array" ref="G8">IF(OR(G$2="",$A8=""),"",SUM(IF(FREQUENCY(IFERROR(IF(Table2[Vertical]=$A8,IF(Table2[Lead Status]=G$2,MATCH(Table2[Company / Account],Table2[Company / Account],0))),""),ROW(Table2[Vertical])-ROW(Table2[#Headers])),1)))</f>
        <v>1</v>
      </c>
      <c r="H8" s="27">
        <f t="shared" si="2"/>
        <v>2.1276595744680851E-2</v>
      </c>
      <c r="I8" s="25">
        <f t="array" ref="I8">IF(OR(I$2="",$A8=""),"",SUM(IF(FREQUENCY(IFERROR(IF(Table2[Vertical]=$A8,IF(Table2[Lead Status]=I$2,MATCH(Table2[Company / Account],Table2[Company / Account],0))),""),ROW(Table2[Vertical])-ROW(Table2[#Headers])),1)))</f>
        <v>2</v>
      </c>
      <c r="J8" s="27">
        <f t="shared" si="3"/>
        <v>4.2553191489361701E-2</v>
      </c>
      <c r="K8" s="25" t="str">
        <f t="array" ref="K8">IF(OR(K$2="",$A8=""),"",SUM(IF(FREQUENCY(IFERROR(IF(Table2[Vertical]=$A8,IF(Table2[Lead Status]=K$2,MATCH(Table2[Company / Account],Table2[Company / Account],0))),""),ROW(Table2[Vertical])-ROW(Table2[#Headers])),1)))</f>
        <v/>
      </c>
    </row>
    <row r="9" spans="1:11">
      <c r="A9" s="22" t="str">
        <f t="array" ref="A9">IFERROR(INDEX(Table2[Vertical],MATCH(1,IF(Table2[Vertical]&lt;&gt;"",IF(ISNA(MATCH(Table2[Vertical],A$1:A8,0)),1)),0)),"")</f>
        <v>Retail - Pharmacy</v>
      </c>
      <c r="B9" s="23">
        <f t="array" ref="B9">IF(A9="","",SUM(IF(FREQUENCY(IFERROR(IF(Table2[Vertical]=A9,MATCH(Table2[Company / Account],Table2[Company / Account],0)),""),ROW(Table2[Vertical])-ROW(Table2[#Headers])),1)))</f>
        <v>7</v>
      </c>
      <c r="C9" s="24">
        <f t="array" ref="C9">IF(OR(C$2="",$A9=""),"",SUM(IF(FREQUENCY(IFERROR(IF(Table2[Vertical]=$A9,IF(Table2[Lead Status]=C$2,MATCH(Table2[Company / Account],Table2[Company / Account],0))),""),ROW(Table2[Vertical])-ROW(Table2[#Headers])),1)))</f>
        <v>4</v>
      </c>
      <c r="D9" s="26">
        <f t="shared" si="0"/>
        <v>0.5714285714285714</v>
      </c>
      <c r="E9" s="25">
        <f t="array" ref="E9">IF(OR(E$2="",$A9=""),"",SUM(IF(FREQUENCY(IFERROR(IF(Table2[Vertical]=$A9,IF(Table2[Lead Status]=E$2,MATCH(Table2[Company / Account],Table2[Company / Account],0))),""),ROW(Table2[Vertical])-ROW(Table2[#Headers])),1)))</f>
        <v>4</v>
      </c>
      <c r="F9" s="27">
        <f t="shared" si="1"/>
        <v>0.5714285714285714</v>
      </c>
      <c r="G9" s="25">
        <f t="array" ref="G9">IF(OR(G$2="",$A9=""),"",SUM(IF(FREQUENCY(IFERROR(IF(Table2[Vertical]=$A9,IF(Table2[Lead Status]=G$2,MATCH(Table2[Company / Account],Table2[Company / Account],0))),""),ROW(Table2[Vertical])-ROW(Table2[#Headers])),1)))</f>
        <v>0</v>
      </c>
      <c r="H9" s="27">
        <f t="shared" si="2"/>
        <v>0</v>
      </c>
      <c r="I9" s="25">
        <f t="array" ref="I9">IF(OR(I$2="",$A9=""),"",SUM(IF(FREQUENCY(IFERROR(IF(Table2[Vertical]=$A9,IF(Table2[Lead Status]=I$2,MATCH(Table2[Company / Account],Table2[Company / Account],0))),""),ROW(Table2[Vertical])-ROW(Table2[#Headers])),1)))</f>
        <v>0</v>
      </c>
      <c r="J9" s="27">
        <f t="shared" si="3"/>
        <v>0</v>
      </c>
      <c r="K9" s="25" t="str">
        <f t="array" ref="K9">IF(OR(K$2="",$A9=""),"",SUM(IF(FREQUENCY(IFERROR(IF(Table2[Vertical]=$A9,IF(Table2[Lead Status]=K$2,MATCH(Table2[Company / Account],Table2[Company / Account],0))),""),ROW(Table2[Vertical])-ROW(Table2[#Headers])),1)))</f>
        <v/>
      </c>
    </row>
    <row r="10" spans="1:11">
      <c r="A10" s="22" t="str">
        <f t="array" ref="A10">IFERROR(INDEX(Table2[Vertical],MATCH(1,IF(Table2[Vertical]&lt;&gt;"",IF(ISNA(MATCH(Table2[Vertical],A$1:A9,0)),1)),0)),"")</f>
        <v>Retail - Small Box</v>
      </c>
      <c r="B10" s="23">
        <f t="array" ref="B10">IF(A10="","",SUM(IF(FREQUENCY(IFERROR(IF(Table2[Vertical]=A10,MATCH(Table2[Company / Account],Table2[Company / Account],0)),""),ROW(Table2[Vertical])-ROW(Table2[#Headers])),1)))</f>
        <v>99</v>
      </c>
      <c r="C10" s="24">
        <f t="array" ref="C10">IF(OR(C$2="",$A10=""),"",SUM(IF(FREQUENCY(IFERROR(IF(Table2[Vertical]=$A10,IF(Table2[Lead Status]=C$2,MATCH(Table2[Company / Account],Table2[Company / Account],0))),""),ROW(Table2[Vertical])-ROW(Table2[#Headers])),1)))</f>
        <v>64</v>
      </c>
      <c r="D10" s="26">
        <f t="shared" si="0"/>
        <v>0.64646464646464652</v>
      </c>
      <c r="E10" s="25">
        <f t="array" ref="E10">IF(OR(E$2="",$A10=""),"",SUM(IF(FREQUENCY(IFERROR(IF(Table2[Vertical]=$A10,IF(Table2[Lead Status]=E$2,MATCH(Table2[Company / Account],Table2[Company / Account],0))),""),ROW(Table2[Vertical])-ROW(Table2[#Headers])),1)))</f>
        <v>45</v>
      </c>
      <c r="F10" s="27">
        <f t="shared" si="1"/>
        <v>0.45454545454545453</v>
      </c>
      <c r="G10" s="25">
        <f t="array" ref="G10">IF(OR(G$2="",$A10=""),"",SUM(IF(FREQUENCY(IFERROR(IF(Table2[Vertical]=$A10,IF(Table2[Lead Status]=G$2,MATCH(Table2[Company / Account],Table2[Company / Account],0))),""),ROW(Table2[Vertical])-ROW(Table2[#Headers])),1)))</f>
        <v>8</v>
      </c>
      <c r="H10" s="27">
        <f t="shared" si="2"/>
        <v>8.0808080808080815E-2</v>
      </c>
      <c r="I10" s="25">
        <f t="array" ref="I10">IF(OR(I$2="",$A10=""),"",SUM(IF(FREQUENCY(IFERROR(IF(Table2[Vertical]=$A10,IF(Table2[Lead Status]=I$2,MATCH(Table2[Company / Account],Table2[Company / Account],0))),""),ROW(Table2[Vertical])-ROW(Table2[#Headers])),1)))</f>
        <v>2</v>
      </c>
      <c r="J10" s="27">
        <f t="shared" si="3"/>
        <v>2.0202020202020204E-2</v>
      </c>
      <c r="K10" s="25" t="str">
        <f t="array" ref="K10">IF(OR(K$2="",$A10=""),"",SUM(IF(FREQUENCY(IFERROR(IF(Table2[Vertical]=$A10,IF(Table2[Lead Status]=K$2,MATCH(Table2[Company / Account],Table2[Company / Account],0))),""),ROW(Table2[Vertical])-ROW(Table2[#Headers])),1)))</f>
        <v/>
      </c>
    </row>
    <row r="12" spans="1:11">
      <c r="A12" s="15" t="s">
        <v>3646</v>
      </c>
      <c r="B12" s="16" t="s">
        <v>3647</v>
      </c>
      <c r="C12" s="17" t="s">
        <v>3648</v>
      </c>
      <c r="D12" s="17"/>
      <c r="E12" s="18"/>
      <c r="F12" s="18"/>
      <c r="G12" s="18"/>
      <c r="H12" s="18"/>
      <c r="I12" s="18"/>
      <c r="J12" s="18"/>
      <c r="K12" s="18"/>
    </row>
    <row r="13" spans="1:11">
      <c r="A13" s="15"/>
      <c r="B13" s="19"/>
      <c r="C13" s="20" t="str">
        <f t="array" ref="C13">IFERROR(INDEX(Table2[Lead Status],MATCH(1,IF(Table2[Lead Status]&lt;&gt;"",IF(ISNA(MATCH(Table2[Lead Status],$A13:A13,0)),1)),0)),"")</f>
        <v>Open - Not Contacted</v>
      </c>
      <c r="D13" s="20" t="s">
        <v>3649</v>
      </c>
      <c r="E13" s="21" t="str">
        <f t="array" ref="E13">IFERROR(INDEX(Table2[Lead Status],MATCH(1,IF(Table2[Lead Status]&lt;&gt;"",IF(ISNA(MATCH(Table2[Lead Status],$A13:C13,0)),1)),0)),"")</f>
        <v>Actively Working</v>
      </c>
      <c r="F13" s="20" t="s">
        <v>3649</v>
      </c>
      <c r="G13" s="21" t="str">
        <f t="array" ref="G13">IFERROR(INDEX(Table2[Lead Status],MATCH(1,IF(Table2[Lead Status]&lt;&gt;"",IF(ISNA(MATCH(Table2[Lead Status],$A13:E13,0)),1)),0)),"")</f>
        <v>Unqualified</v>
      </c>
      <c r="H13" s="20" t="s">
        <v>3649</v>
      </c>
      <c r="I13" s="21" t="str">
        <f t="array" ref="I13">IFERROR(INDEX(Table2[Lead Status],MATCH(1,IF(Table2[Lead Status]&lt;&gt;"",IF(ISNA(MATCH(Table2[Lead Status],$A13:G13,0)),1)),0)),"")</f>
        <v>Nurturing</v>
      </c>
      <c r="J13" s="20" t="s">
        <v>3649</v>
      </c>
      <c r="K13" s="21" t="str">
        <f t="array" ref="K13">IFERROR(INDEX(Table2[Lead Status],MATCH(1,IF(Table2[Lead Status]&lt;&gt;"",IF(ISNA(MATCH(Table2[Lead Status],$A13:J13,0)),1)),0)),"")</f>
        <v/>
      </c>
    </row>
    <row r="14" spans="1:11">
      <c r="A14" s="22" t="str">
        <f t="array" ref="A14">IFERROR(INDEX(Table2[Lead Owner],MATCH(1,IF(Table2[Lead Owner]&lt;&gt;"",IF(ISNA(MATCH(Table2[Lead Owner],A$1:A13,0)),1)),0)),"")</f>
        <v>Michael Donohue</v>
      </c>
      <c r="B14" s="23">
        <f t="array" ref="B14">IF(A14="","",SUM(IF(FREQUENCY(IFERROR(IF(Table2[Lead Owner]=A14,MATCH(Table2[Company / Account],Table2[Company / Account],0)),""),ROW(Table2[Lead Owner])-ROW(Table2[#Headers])),1)))</f>
        <v>17</v>
      </c>
      <c r="C14" s="24">
        <f t="array" ref="C14">IF(OR(C$2="",$A14=""),"",SUM(IF(FREQUENCY(IFERROR(IF(Table2[Lead Owner]=$A14,IF(Table2[Lead Status]=C$2,MATCH(Table2[Company / Account],Table2[Company / Account],0))),""),ROW(Table2[Lead Owner])-ROW(Table2[#Headers])),1)))</f>
        <v>8</v>
      </c>
      <c r="D14" s="26">
        <f>C14/B14</f>
        <v>0.47058823529411764</v>
      </c>
      <c r="E14" s="25">
        <f t="array" ref="E14">IF(OR(E$2="",$A14=""),"",SUM(IF(FREQUENCY(IFERROR(IF(Table2[Lead Owner]=$A14,IF(Table2[Lead Status]=E$2,MATCH(Table2[Company / Account],Table2[Company / Account],0))),""),ROW(Table2[Lead Owner])-ROW(Table2[#Headers])),1)))</f>
        <v>11</v>
      </c>
      <c r="F14" s="27">
        <f>E14/B14</f>
        <v>0.6470588235294118</v>
      </c>
      <c r="G14" s="25">
        <f t="array" ref="G14">IF(OR(G$2="",$A14=""),"",SUM(IF(FREQUENCY(IFERROR(IF(Table2[Lead Owner]=$A14,IF(Table2[Lead Status]=G$2,MATCH(Table2[Company / Account],Table2[Company / Account],0))),""),ROW(Table2[Lead Owner])-ROW(Table2[#Headers])),1)))</f>
        <v>1</v>
      </c>
      <c r="H14" s="27">
        <f>G14/B14</f>
        <v>5.8823529411764705E-2</v>
      </c>
      <c r="I14" s="25">
        <f t="array" ref="I14">IF(OR(I$2="",$A14=""),"",SUM(IF(FREQUENCY(IFERROR(IF(Table2[Lead Owner]=$A14,IF(Table2[Lead Status]=I$2,MATCH(Table2[Company / Account],Table2[Company / Account],0))),""),ROW(Table2[Lead Owner])-ROW(Table2[#Headers])),1)))</f>
        <v>2</v>
      </c>
      <c r="J14" s="27">
        <f>I14/B14</f>
        <v>0.11764705882352941</v>
      </c>
      <c r="K14" s="25" t="str">
        <f t="array" ref="K14">IF(OR(K$2="",$A14=""),"",SUM(IF(FREQUENCY(IFERROR(IF(Table2[Vertical]=$A14,IF(Table2[Lead Status]=K$2,MATCH(Table2[Company / Account],Table2[Company / Account],0))),""),ROW(Table2[Vertical])-ROW(Table2[#Headers])),1)))</f>
        <v/>
      </c>
    </row>
    <row r="15" spans="1:11">
      <c r="A15" s="22" t="str">
        <f t="array" ref="A15">IFERROR(INDEX(Table2[Lead Owner],MATCH(1,IF(Table2[Lead Owner]&lt;&gt;"",IF(ISNA(MATCH(Table2[Lead Owner],A$1:A14,0)),1)),0)),"")</f>
        <v>Matt Creager</v>
      </c>
      <c r="B15" s="23">
        <f t="array" ref="B15">IF(A15="","",SUM(IF(FREQUENCY(IFERROR(IF(Table2[Lead Owner]=A15,MATCH(Table2[Company / Account],Table2[Company / Account],0)),""),ROW(Table2[Lead Owner])-ROW(Table2[#Headers])),1)))</f>
        <v>72</v>
      </c>
      <c r="C15" s="24">
        <f t="array" ref="C15">IF(OR(C$2="",$A15=""),"",SUM(IF(FREQUENCY(IFERROR(IF(Table2[Lead Owner]=$A15,IF(Table2[Lead Status]=C$2,MATCH(Table2[Company / Account],Table2[Company / Account],0))),""),ROW(Table2[Lead Owner])-ROW(Table2[#Headers])),1)))</f>
        <v>52</v>
      </c>
      <c r="D15" s="26">
        <f t="shared" ref="D15:D21" si="4">C15/B15</f>
        <v>0.72222222222222221</v>
      </c>
      <c r="E15" s="25">
        <f t="array" ref="E15">IF(OR(E$2="",$A15=""),"",SUM(IF(FREQUENCY(IFERROR(IF(Table2[Lead Owner]=$A15,IF(Table2[Lead Status]=E$2,MATCH(Table2[Company / Account],Table2[Company / Account],0))),""),ROW(Table2[Lead Owner])-ROW(Table2[#Headers])),1)))</f>
        <v>22</v>
      </c>
      <c r="F15" s="27">
        <f t="shared" ref="F15:F21" si="5">E15/B15</f>
        <v>0.30555555555555558</v>
      </c>
      <c r="G15" s="25">
        <f t="array" ref="G15">IF(OR(G$2="",$A15=""),"",SUM(IF(FREQUENCY(IFERROR(IF(Table2[Lead Owner]=$A15,IF(Table2[Lead Status]=G$2,MATCH(Table2[Company / Account],Table2[Company / Account],0))),""),ROW(Table2[Lead Owner])-ROW(Table2[#Headers])),1)))</f>
        <v>8</v>
      </c>
      <c r="H15" s="27">
        <f t="shared" ref="H15:H21" si="6">G15/B15</f>
        <v>0.1111111111111111</v>
      </c>
      <c r="I15" s="25">
        <f t="array" ref="I15">IF(OR(I$2="",$A15=""),"",SUM(IF(FREQUENCY(IFERROR(IF(Table2[Lead Owner]=$A15,IF(Table2[Lead Status]=I$2,MATCH(Table2[Company / Account],Table2[Company / Account],0))),""),ROW(Table2[Lead Owner])-ROW(Table2[#Headers])),1)))</f>
        <v>11</v>
      </c>
      <c r="J15" s="27">
        <f t="shared" ref="J15:J21" si="7">I15/B15</f>
        <v>0.15277777777777779</v>
      </c>
      <c r="K15" s="25" t="str">
        <f t="array" ref="K15">IF(OR(K$2="",$A15=""),"",SUM(IF(FREQUENCY(IFERROR(IF(Table2[Vertical]=$A15,IF(Table2[Lead Status]=K$2,MATCH(Table2[Company / Account],Table2[Company / Account],0))),""),ROW(Table2[Vertical])-ROW(Table2[#Headers])),1)))</f>
        <v/>
      </c>
    </row>
    <row r="16" spans="1:11">
      <c r="A16" s="22" t="str">
        <f t="array" ref="A16">IFERROR(INDEX(Table2[Lead Owner],MATCH(1,IF(Table2[Lead Owner]&lt;&gt;"",IF(ISNA(MATCH(Table2[Lead Owner],A$1:A15,0)),1)),0)),"")</f>
        <v>John Richmond</v>
      </c>
      <c r="B16" s="23">
        <f t="array" ref="B16">IF(A16="","",SUM(IF(FREQUENCY(IFERROR(IF(Table2[Lead Owner]=A16,MATCH(Table2[Company / Account],Table2[Company / Account],0)),""),ROW(Table2[Lead Owner])-ROW(Table2[#Headers])),1)))</f>
        <v>87</v>
      </c>
      <c r="C16" s="24">
        <f t="array" ref="C16">IF(OR(C$2="",$A16=""),"",SUM(IF(FREQUENCY(IFERROR(IF(Table2[Lead Owner]=$A16,IF(Table2[Lead Status]=C$2,MATCH(Table2[Company / Account],Table2[Company / Account],0))),""),ROW(Table2[Lead Owner])-ROW(Table2[#Headers])),1)))</f>
        <v>79</v>
      </c>
      <c r="D16" s="26">
        <f t="shared" si="4"/>
        <v>0.90804597701149425</v>
      </c>
      <c r="E16" s="25">
        <f t="array" ref="E16">IF(OR(E$2="",$A16=""),"",SUM(IF(FREQUENCY(IFERROR(IF(Table2[Lead Owner]=$A16,IF(Table2[Lead Status]=E$2,MATCH(Table2[Company / Account],Table2[Company / Account],0))),""),ROW(Table2[Lead Owner])-ROW(Table2[#Headers])),1)))</f>
        <v>9</v>
      </c>
      <c r="F16" s="27">
        <f t="shared" si="5"/>
        <v>0.10344827586206896</v>
      </c>
      <c r="G16" s="25">
        <f t="array" ref="G16">IF(OR(G$2="",$A16=""),"",SUM(IF(FREQUENCY(IFERROR(IF(Table2[Lead Owner]=$A16,IF(Table2[Lead Status]=G$2,MATCH(Table2[Company / Account],Table2[Company / Account],0))),""),ROW(Table2[Lead Owner])-ROW(Table2[#Headers])),1)))</f>
        <v>6</v>
      </c>
      <c r="H16" s="27">
        <f t="shared" si="6"/>
        <v>6.8965517241379309E-2</v>
      </c>
      <c r="I16" s="25">
        <f t="array" ref="I16">IF(OR(I$2="",$A16=""),"",SUM(IF(FREQUENCY(IFERROR(IF(Table2[Lead Owner]=$A16,IF(Table2[Lead Status]=I$2,MATCH(Table2[Company / Account],Table2[Company / Account],0))),""),ROW(Table2[Lead Owner])-ROW(Table2[#Headers])),1)))</f>
        <v>0</v>
      </c>
      <c r="J16" s="27">
        <f t="shared" si="7"/>
        <v>0</v>
      </c>
      <c r="K16" s="25" t="str">
        <f t="array" ref="K16">IF(OR(K$2="",$A16=""),"",SUM(IF(FREQUENCY(IFERROR(IF(Table2[Vertical]=$A16,IF(Table2[Lead Status]=K$2,MATCH(Table2[Company / Account],Table2[Company / Account],0))),""),ROW(Table2[Vertical])-ROW(Table2[#Headers])),1)))</f>
        <v/>
      </c>
    </row>
    <row r="17" spans="1:11">
      <c r="A17" s="22" t="str">
        <f t="array" ref="A17">IFERROR(INDEX(Table2[Lead Owner],MATCH(1,IF(Table2[Lead Owner]&lt;&gt;"",IF(ISNA(MATCH(Table2[Lead Owner],A$1:A16,0)),1)),0)),"")</f>
        <v>Mike Pluff</v>
      </c>
      <c r="B17" s="23">
        <f t="array" ref="B17">IF(A17="","",SUM(IF(FREQUENCY(IFERROR(IF(Table2[Lead Owner]=A17,MATCH(Table2[Company / Account],Table2[Company / Account],0)),""),ROW(Table2[Lead Owner])-ROW(Table2[#Headers])),1)))</f>
        <v>107</v>
      </c>
      <c r="C17" s="24">
        <f t="array" ref="C17">IF(OR(C$2="",$A17=""),"",SUM(IF(FREQUENCY(IFERROR(IF(Table2[Lead Owner]=$A17,IF(Table2[Lead Status]=C$2,MATCH(Table2[Company / Account],Table2[Company / Account],0))),""),ROW(Table2[Lead Owner])-ROW(Table2[#Headers])),1)))</f>
        <v>96</v>
      </c>
      <c r="D17" s="26">
        <f t="shared" si="4"/>
        <v>0.89719626168224298</v>
      </c>
      <c r="E17" s="25">
        <f t="array" ref="E17">IF(OR(E$2="",$A17=""),"",SUM(IF(FREQUENCY(IFERROR(IF(Table2[Lead Owner]=$A17,IF(Table2[Lead Status]=E$2,MATCH(Table2[Company / Account],Table2[Company / Account],0))),""),ROW(Table2[Lead Owner])-ROW(Table2[#Headers])),1)))</f>
        <v>26</v>
      </c>
      <c r="F17" s="27">
        <f t="shared" si="5"/>
        <v>0.24299065420560748</v>
      </c>
      <c r="G17" s="25">
        <f t="array" ref="G17">IF(OR(G$2="",$A17=""),"",SUM(IF(FREQUENCY(IFERROR(IF(Table2[Lead Owner]=$A17,IF(Table2[Lead Status]=G$2,MATCH(Table2[Company / Account],Table2[Company / Account],0))),""),ROW(Table2[Lead Owner])-ROW(Table2[#Headers])),1)))</f>
        <v>1</v>
      </c>
      <c r="H17" s="27">
        <f t="shared" si="6"/>
        <v>9.3457943925233638E-3</v>
      </c>
      <c r="I17" s="25">
        <f t="array" ref="I17">IF(OR(I$2="",$A17=""),"",SUM(IF(FREQUENCY(IFERROR(IF(Table2[Lead Owner]=$A17,IF(Table2[Lead Status]=I$2,MATCH(Table2[Company / Account],Table2[Company / Account],0))),""),ROW(Table2[Lead Owner])-ROW(Table2[#Headers])),1)))</f>
        <v>2</v>
      </c>
      <c r="J17" s="27">
        <f t="shared" si="7"/>
        <v>1.8691588785046728E-2</v>
      </c>
      <c r="K17" s="25" t="str">
        <f t="array" ref="K17">IF(OR(K$2="",$A17=""),"",SUM(IF(FREQUENCY(IFERROR(IF(Table2[Vertical]=$A17,IF(Table2[Lead Status]=K$2,MATCH(Table2[Company / Account],Table2[Company / Account],0))),""),ROW(Table2[Vertical])-ROW(Table2[#Headers])),1)))</f>
        <v/>
      </c>
    </row>
    <row r="18" spans="1:11">
      <c r="A18" s="22" t="str">
        <f t="array" ref="A18">IFERROR(INDEX(Table2[Lead Owner],MATCH(1,IF(Table2[Lead Owner]&lt;&gt;"",IF(ISNA(MATCH(Table2[Lead Owner],A$1:A17,0)),1)),0)),"")</f>
        <v>Steven Shartzer</v>
      </c>
      <c r="B18" s="23">
        <f t="array" ref="B18">IF(A18="","",SUM(IF(FREQUENCY(IFERROR(IF(Table2[Lead Owner]=A18,MATCH(Table2[Company / Account],Table2[Company / Account],0)),""),ROW(Table2[Lead Owner])-ROW(Table2[#Headers])),1)))</f>
        <v>58</v>
      </c>
      <c r="C18" s="24">
        <f t="array" ref="C18">IF(OR(C$2="",$A18=""),"",SUM(IF(FREQUENCY(IFERROR(IF(Table2[Lead Owner]=$A18,IF(Table2[Lead Status]=C$2,MATCH(Table2[Company / Account],Table2[Company / Account],0))),""),ROW(Table2[Lead Owner])-ROW(Table2[#Headers])),1)))</f>
        <v>29</v>
      </c>
      <c r="D18" s="26">
        <f t="shared" si="4"/>
        <v>0.5</v>
      </c>
      <c r="E18" s="25">
        <f t="array" ref="E18">IF(OR(E$2="",$A18=""),"",SUM(IF(FREQUENCY(IFERROR(IF(Table2[Lead Owner]=$A18,IF(Table2[Lead Status]=E$2,MATCH(Table2[Company / Account],Table2[Company / Account],0))),""),ROW(Table2[Lead Owner])-ROW(Table2[#Headers])),1)))</f>
        <v>39</v>
      </c>
      <c r="F18" s="27">
        <f t="shared" si="5"/>
        <v>0.67241379310344829</v>
      </c>
      <c r="G18" s="25">
        <f t="array" ref="G18">IF(OR(G$2="",$A18=""),"",SUM(IF(FREQUENCY(IFERROR(IF(Table2[Lead Owner]=$A18,IF(Table2[Lead Status]=G$2,MATCH(Table2[Company / Account],Table2[Company / Account],0))),""),ROW(Table2[Lead Owner])-ROW(Table2[#Headers])),1)))</f>
        <v>1</v>
      </c>
      <c r="H18" s="27">
        <f t="shared" si="6"/>
        <v>1.7241379310344827E-2</v>
      </c>
      <c r="I18" s="25">
        <f t="array" ref="I18">IF(OR(I$2="",$A18=""),"",SUM(IF(FREQUENCY(IFERROR(IF(Table2[Lead Owner]=$A18,IF(Table2[Lead Status]=I$2,MATCH(Table2[Company / Account],Table2[Company / Account],0))),""),ROW(Table2[Lead Owner])-ROW(Table2[#Headers])),1)))</f>
        <v>2</v>
      </c>
      <c r="J18" s="27">
        <f t="shared" si="7"/>
        <v>3.4482758620689655E-2</v>
      </c>
      <c r="K18" s="25" t="str">
        <f t="array" ref="K18">IF(OR(K$2="",$A18=""),"",SUM(IF(FREQUENCY(IFERROR(IF(Table2[Vertical]=$A18,IF(Table2[Lead Status]=K$2,MATCH(Table2[Company / Account],Table2[Company / Account],0))),""),ROW(Table2[Vertical])-ROW(Table2[#Headers])),1)))</f>
        <v/>
      </c>
    </row>
    <row r="19" spans="1:11">
      <c r="A19" s="22" t="str">
        <f t="array" ref="A19">IFERROR(INDEX(Table2[Lead Owner],MATCH(1,IF(Table2[Lead Owner]&lt;&gt;"",IF(ISNA(MATCH(Table2[Lead Owner],A$1:A18,0)),1)),0)),"")</f>
        <v>Jonathan Berger</v>
      </c>
      <c r="B19" s="23">
        <f t="array" ref="B19">IF(A19="","",SUM(IF(FREQUENCY(IFERROR(IF(Table2[Lead Owner]=A19,MATCH(Table2[Company / Account],Table2[Company / Account],0)),""),ROW(Table2[Lead Owner])-ROW(Table2[#Headers])),1)))</f>
        <v>134</v>
      </c>
      <c r="C19" s="24">
        <f t="array" ref="C19">IF(OR(C$2="",$A19=""),"",SUM(IF(FREQUENCY(IFERROR(IF(Table2[Lead Owner]=$A19,IF(Table2[Lead Status]=C$2,MATCH(Table2[Company / Account],Table2[Company / Account],0))),""),ROW(Table2[Lead Owner])-ROW(Table2[#Headers])),1)))</f>
        <v>86</v>
      </c>
      <c r="D19" s="26">
        <f t="shared" si="4"/>
        <v>0.64179104477611937</v>
      </c>
      <c r="E19" s="25">
        <f t="array" ref="E19">IF(OR(E$2="",$A19=""),"",SUM(IF(FREQUENCY(IFERROR(IF(Table2[Lead Owner]=$A19,IF(Table2[Lead Status]=E$2,MATCH(Table2[Company / Account],Table2[Company / Account],0))),""),ROW(Table2[Lead Owner])-ROW(Table2[#Headers])),1)))</f>
        <v>70</v>
      </c>
      <c r="F19" s="27">
        <f t="shared" si="5"/>
        <v>0.52238805970149249</v>
      </c>
      <c r="G19" s="25">
        <f t="array" ref="G19">IF(OR(G$2="",$A19=""),"",SUM(IF(FREQUENCY(IFERROR(IF(Table2[Lead Owner]=$A19,IF(Table2[Lead Status]=G$2,MATCH(Table2[Company / Account],Table2[Company / Account],0))),""),ROW(Table2[Lead Owner])-ROW(Table2[#Headers])),1)))</f>
        <v>11</v>
      </c>
      <c r="H19" s="27">
        <f t="shared" si="6"/>
        <v>8.2089552238805971E-2</v>
      </c>
      <c r="I19" s="25">
        <f t="array" ref="I19">IF(OR(I$2="",$A19=""),"",SUM(IF(FREQUENCY(IFERROR(IF(Table2[Lead Owner]=$A19,IF(Table2[Lead Status]=I$2,MATCH(Table2[Company / Account],Table2[Company / Account],0))),""),ROW(Table2[Lead Owner])-ROW(Table2[#Headers])),1)))</f>
        <v>3</v>
      </c>
      <c r="J19" s="27">
        <f t="shared" si="7"/>
        <v>2.2388059701492536E-2</v>
      </c>
      <c r="K19" s="25" t="str">
        <f t="array" ref="K19">IF(OR(K$2="",$A19=""),"",SUM(IF(FREQUENCY(IFERROR(IF(Table2[Vertical]=$A19,IF(Table2[Lead Status]=K$2,MATCH(Table2[Company / Account],Table2[Company / Account],0))),""),ROW(Table2[Vertical])-ROW(Table2[#Headers])),1)))</f>
        <v/>
      </c>
    </row>
    <row r="20" spans="1:11">
      <c r="A20" s="22" t="str">
        <f t="array" ref="A20">IFERROR(INDEX(Table2[Lead Owner],MATCH(1,IF(Table2[Lead Owner]&lt;&gt;"",IF(ISNA(MATCH(Table2[Lead Owner],A$1:A19,0)),1)),0)),"")</f>
        <v>Robert Giblett</v>
      </c>
      <c r="B20" s="23">
        <f t="array" ref="B20">IF(A20="","",SUM(IF(FREQUENCY(IFERROR(IF(Table2[Lead Owner]=A20,MATCH(Table2[Company / Account],Table2[Company / Account],0)),""),ROW(Table2[Lead Owner])-ROW(Table2[#Headers])),1)))</f>
        <v>25</v>
      </c>
      <c r="C20" s="24">
        <f t="array" ref="C20">IF(OR(C$2="",$A20=""),"",SUM(IF(FREQUENCY(IFERROR(IF(Table2[Lead Owner]=$A20,IF(Table2[Lead Status]=C$2,MATCH(Table2[Company / Account],Table2[Company / Account],0))),""),ROW(Table2[Lead Owner])-ROW(Table2[#Headers])),1)))</f>
        <v>3</v>
      </c>
      <c r="D20" s="26">
        <f t="shared" si="4"/>
        <v>0.12</v>
      </c>
      <c r="E20" s="25">
        <f t="array" ref="E20">IF(OR(E$2="",$A20=""),"",SUM(IF(FREQUENCY(IFERROR(IF(Table2[Lead Owner]=$A20,IF(Table2[Lead Status]=E$2,MATCH(Table2[Company / Account],Table2[Company / Account],0))),""),ROW(Table2[Lead Owner])-ROW(Table2[#Headers])),1)))</f>
        <v>22</v>
      </c>
      <c r="F20" s="27">
        <f t="shared" si="5"/>
        <v>0.88</v>
      </c>
      <c r="G20" s="25">
        <f t="array" ref="G20">IF(OR(G$2="",$A20=""),"",SUM(IF(FREQUENCY(IFERROR(IF(Table2[Lead Owner]=$A20,IF(Table2[Lead Status]=G$2,MATCH(Table2[Company / Account],Table2[Company / Account],0))),""),ROW(Table2[Lead Owner])-ROW(Table2[#Headers])),1)))</f>
        <v>0</v>
      </c>
      <c r="H20" s="27">
        <f t="shared" si="6"/>
        <v>0</v>
      </c>
      <c r="I20" s="25">
        <f t="array" ref="I20">IF(OR(I$2="",$A20=""),"",SUM(IF(FREQUENCY(IFERROR(IF(Table2[Lead Owner]=$A20,IF(Table2[Lead Status]=I$2,MATCH(Table2[Company / Account],Table2[Company / Account],0))),""),ROW(Table2[Lead Owner])-ROW(Table2[#Headers])),1)))</f>
        <v>0</v>
      </c>
      <c r="J20" s="27">
        <f t="shared" si="7"/>
        <v>0</v>
      </c>
      <c r="K20" s="25" t="str">
        <f t="array" ref="K20">IF(OR(K$2="",$A20=""),"",SUM(IF(FREQUENCY(IFERROR(IF(Table2[Vertical]=$A20,IF(Table2[Lead Status]=K$2,MATCH(Table2[Company / Account],Table2[Company / Account],0))),""),ROW(Table2[Vertical])-ROW(Table2[#Headers])),1)))</f>
        <v/>
      </c>
    </row>
    <row r="21" spans="1:11">
      <c r="A21" s="22" t="str">
        <f t="array" ref="A21">IFERROR(INDEX(Table2[Lead Owner],MATCH(1,IF(Table2[Lead Owner]&lt;&gt;"",IF(ISNA(MATCH(Table2[Lead Owner],A$1:A20,0)),1)),0)),"")</f>
        <v>Allen Scott</v>
      </c>
      <c r="B21" s="23">
        <f t="array" ref="B21">IF(A21="","",SUM(IF(FREQUENCY(IFERROR(IF(Table2[Lead Owner]=A21,MATCH(Table2[Company / Account],Table2[Company / Account],0)),""),ROW(Table2[Lead Owner])-ROW(Table2[#Headers])),1)))</f>
        <v>3</v>
      </c>
      <c r="C21" s="24">
        <f t="array" ref="C21">IF(OR(C$2="",$A21=""),"",SUM(IF(FREQUENCY(IFERROR(IF(Table2[Lead Owner]=$A21,IF(Table2[Lead Status]=C$2,MATCH(Table2[Company / Account],Table2[Company / Account],0))),""),ROW(Table2[Lead Owner])-ROW(Table2[#Headers])),1)))</f>
        <v>3</v>
      </c>
      <c r="D21" s="26">
        <f t="shared" si="4"/>
        <v>1</v>
      </c>
      <c r="E21" s="25">
        <f t="array" ref="E21">IF(OR(E$2="",$A21=""),"",SUM(IF(FREQUENCY(IFERROR(IF(Table2[Lead Owner]=$A21,IF(Table2[Lead Status]=E$2,MATCH(Table2[Company / Account],Table2[Company / Account],0))),""),ROW(Table2[Lead Owner])-ROW(Table2[#Headers])),1)))</f>
        <v>0</v>
      </c>
      <c r="F21" s="27">
        <f t="shared" si="5"/>
        <v>0</v>
      </c>
      <c r="G21" s="25">
        <f t="array" ref="G21">IF(OR(G$2="",$A21=""),"",SUM(IF(FREQUENCY(IFERROR(IF(Table2[Lead Owner]=$A21,IF(Table2[Lead Status]=G$2,MATCH(Table2[Company / Account],Table2[Company / Account],0))),""),ROW(Table2[Lead Owner])-ROW(Table2[#Headers])),1)))</f>
        <v>0</v>
      </c>
      <c r="H21" s="27">
        <f t="shared" si="6"/>
        <v>0</v>
      </c>
      <c r="I21" s="25">
        <f t="array" ref="I21">IF(OR(I$2="",$A21=""),"",SUM(IF(FREQUENCY(IFERROR(IF(Table2[Lead Owner]=$A21,IF(Table2[Lead Status]=I$2,MATCH(Table2[Company / Account],Table2[Company / Account],0))),""),ROW(Table2[Lead Owner])-ROW(Table2[#Headers])),1)))</f>
        <v>0</v>
      </c>
      <c r="J21" s="27">
        <f t="shared" si="7"/>
        <v>0</v>
      </c>
      <c r="K21" s="25" t="str">
        <f t="array" ref="K21">IF(OR(K$2="",$A21=""),"",SUM(IF(FREQUENCY(IFERROR(IF(Table2[Vertical]=$A21,IF(Table2[Lead Status]=K$2,MATCH(Table2[Company / Account],Table2[Company / Account],0))),""),ROW(Table2[Vertical])-ROW(Table2[#Headers])),1)))</f>
        <v/>
      </c>
    </row>
  </sheetData>
  <mergeCells count="6">
    <mergeCell ref="A1:A2"/>
    <mergeCell ref="B1:B2"/>
    <mergeCell ref="C1:K1"/>
    <mergeCell ref="A12:A13"/>
    <mergeCell ref="B12:B13"/>
    <mergeCell ref="C1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Data Dump</vt:lpstr>
      <vt:lpstr>Sheet1</vt:lpstr>
      <vt:lpstr>Visual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Kosmann, Sean</dc:creator>
  <cp:lastModifiedBy>Kosmann, Sean</cp:lastModifiedBy>
  <dcterms:created xsi:type="dcterms:W3CDTF">2011-12-30T21:45:34Z</dcterms:created>
  <dcterms:modified xsi:type="dcterms:W3CDTF">2012-01-03T05:27:16Z</dcterms:modified>
</cp:coreProperties>
</file>