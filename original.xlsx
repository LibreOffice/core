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
    </mc:Choice>
  </mc:AlternateContent>
  <bookViews>
    <workbookView xWindow="0" yWindow="0" windowWidth="28800" windowHeight="13692"/>
  </bookViews>
  <sheets>
    <sheet name="Bericht" sheetId="1" r:id="rId1"/>
    <sheet name="Daten" sheetId="2" r:id="rId2"/>
  </sheets>
  <externalReferences>
    <externalReference r:id="rId3"/>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1" l="1"/>
  <c r="B2" i="1"/>
  <c r="C2" i="1"/>
  <c r="D2" i="1"/>
  <c r="E2" i="1"/>
  <c r="F2" i="1"/>
  <c r="G2" i="1"/>
  <c r="H2" i="1"/>
  <c r="I2" i="1"/>
  <c r="J2" i="1"/>
  <c r="K2" i="1"/>
  <c r="M2" i="1"/>
  <c r="N2" i="1"/>
  <c r="L2" i="1"/>
  <c r="B3" i="1"/>
  <c r="C3" i="1"/>
  <c r="D3" i="1"/>
  <c r="E3" i="1"/>
  <c r="F3" i="1"/>
  <c r="G3" i="1"/>
  <c r="H3" i="1"/>
  <c r="I3" i="1"/>
  <c r="J3" i="1"/>
  <c r="K3" i="1"/>
  <c r="M3" i="1"/>
  <c r="N3" i="1"/>
  <c r="L3" i="1"/>
</calcChain>
</file>

<file path=xl/sharedStrings.xml><?xml version="1.0" encoding="utf-8"?>
<sst xmlns="http://schemas.openxmlformats.org/spreadsheetml/2006/main" count="38" uniqueCount="31">
  <si>
    <t>Datum</t>
  </si>
  <si>
    <t>Ziele</t>
  </si>
  <si>
    <t>Meilensteine</t>
  </si>
  <si>
    <t>Projekt 1</t>
  </si>
  <si>
    <t>Projekt 2</t>
  </si>
  <si>
    <t>Projekt 3</t>
  </si>
  <si>
    <t>Projekt 4</t>
  </si>
  <si>
    <t>Projekt 5</t>
  </si>
  <si>
    <t>Projekt 6</t>
  </si>
  <si>
    <t>Projekt 7</t>
  </si>
  <si>
    <t>Projekt 8</t>
  </si>
  <si>
    <t>Projekt 9</t>
  </si>
  <si>
    <t>Projekt 10</t>
  </si>
  <si>
    <t>31.09.2018</t>
  </si>
  <si>
    <t>Projekt 11</t>
  </si>
  <si>
    <t>Projekt 12</t>
  </si>
  <si>
    <t>Projekt 13</t>
  </si>
  <si>
    <t>Projekt 14</t>
  </si>
  <si>
    <t>Projekt 15</t>
  </si>
  <si>
    <t>Ziel 1</t>
  </si>
  <si>
    <t>Erledigt 1</t>
  </si>
  <si>
    <t xml:space="preserve">Ziel </t>
  </si>
  <si>
    <t>Ziel 2</t>
  </si>
  <si>
    <t>Ziel 3</t>
  </si>
  <si>
    <t>Erledigt</t>
  </si>
  <si>
    <t>Versuch Jan 18: -----------&gt;</t>
  </si>
  <si>
    <t>Das liegt daran, dass der 28.2.18 von M1 (Bild "Reiter_Bericht1" rot markierte Stelle) genommen wird. Ich möchte aber, dass nicht der 28.2.18 genommen wird, sondern der Zieltermin (Reiter Daten B10) und 30 Tage drauf addiert werden.</t>
  </si>
  <si>
    <t>Das habe ich in Bild "Reiter_Bericht2" (rot markiert) versucht, aber es funktioniert nicht und es kommt 0 heraus. Ich weiß nicht wie man es richtig macht.</t>
  </si>
  <si>
    <t>Es gibt ein Zieldatum für ein Projekt und ein Datum wann es wirklich erledigt wurde.</t>
  </si>
  <si>
    <t xml:space="preserve">Das Ziel soll nur dann als erledigt gezählt werden, wenn es maximal 30 Tage (Karenzzeit) nach dem Zieltermin (aus Reiter "Daten") erledigt wurde. Mit meiner Formel (Bsp. Jan 18 in Zelle L3) werden alle Ziele als erledigt gezählt, die bis zum Ende des Folgemonats erledigt wurden. </t>
  </si>
  <si>
    <t>Es könnte aber sein, dass der Zieltermin der 12.1.18 ist und am 19.2.18 erledigt wurde. Also 38 Tage nach dem Zieltermin, trotzdem wird es hier als erledigt gezählt.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</si>
</sst>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
  </numFmts>
  <fonts count="4" x14ac:knownFonts="1">
    <font>
      <sz val="11"/>
      <color theme="1"/>
      <name val="Arial"/>
      <family val="2"/>
    </font>
    <font>
      <b/>
      <sz val="11"/>
      <name val="Calibri"/>
      <family val="2"/>
      <scheme val="minor"/>
    </font>
    <font>
      <b/>
      <sz val="11"/>
      <color theme="1"/>
      <name val="Calibri"/>
      <family val="2"/>
      <scheme val="minor"/>
    </font>
    <font>
      <sz val="11"/>
      <color rgb="FFFF0000"/>
      <name val="Arial"/>
      <family val="2"/>
    </font>
  </fonts>
  <fills count="7">
    <fill>
      <patternFill patternType="none"/>
    </fill>
    <fill>
      <patternFill patternType="gray125"/>
    </fill>
    <fill>
      <patternFill patternType="solid">
        <fgColor rgb="FFB3C618"/>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thin">
        <color indexed="64"/>
      </left>
      <right style="medium">
        <color auto="1"/>
      </right>
      <top/>
      <bottom/>
      <diagonal/>
    </border>
    <border>
      <left style="thin">
        <color auto="1"/>
      </left>
      <right/>
      <top/>
      <bottom style="medium">
        <color indexed="64"/>
      </bottom>
      <diagonal/>
    </border>
    <border>
      <left style="medium">
        <color auto="1"/>
      </left>
      <right style="thin">
        <color auto="1"/>
      </right>
      <top/>
      <bottom style="medium">
        <color auto="1"/>
      </bottom>
      <diagonal/>
    </border>
    <border>
      <left style="medium">
        <color indexed="64"/>
      </left>
      <right style="thin">
        <color auto="1"/>
      </right>
      <top style="medium">
        <color indexed="64"/>
      </top>
      <bottom/>
      <diagonal/>
    </border>
    <border>
      <left style="thin">
        <color auto="1"/>
      </left>
      <right style="thin">
        <color auto="1"/>
      </right>
      <top style="medium">
        <color auto="1"/>
      </top>
      <bottom/>
      <diagonal/>
    </border>
    <border>
      <left style="thin">
        <color indexed="64"/>
      </left>
      <right style="medium">
        <color auto="1"/>
      </right>
      <top style="medium">
        <color indexed="64"/>
      </top>
      <bottom/>
      <diagonal/>
    </border>
    <border>
      <left style="medium">
        <color auto="1"/>
      </left>
      <right style="thin">
        <color auto="1"/>
      </right>
      <top/>
      <bottom/>
      <diagonal/>
    </border>
    <border>
      <left style="thin">
        <color indexed="64"/>
      </left>
      <right style="thin">
        <color indexed="64"/>
      </right>
      <top/>
      <bottom/>
      <diagonal/>
    </border>
  </borders>
  <cellStyleXfs count="1">
    <xf numFmtId="0" fontId="0" fillId="0" borderId="0"/>
  </cellStyleXfs>
  <cellXfs count="25">
    <xf numFmtId="0" fontId="0" fillId="0" borderId="0" xfId="0"/>
    <xf numFmtId="0" fontId="0" fillId="0" borderId="1" xfId="0" applyBorder="1"/>
    <xf numFmtId="17" fontId="0" fillId="0" borderId="1" xfId="0" applyNumberFormat="1" applyBorder="1"/>
    <xf numFmtId="0" fontId="1" fillId="2" borderId="2" xfId="0" applyFont="1" applyFill="1" applyBorder="1"/>
    <xf numFmtId="164" fontId="0" fillId="2" borderId="3" xfId="0" applyNumberFormat="1" applyFill="1" applyBorder="1"/>
    <xf numFmtId="164" fontId="2" fillId="2" borderId="4" xfId="0" applyNumberFormat="1" applyFont="1" applyFill="1" applyBorder="1" applyProtection="1"/>
    <xf numFmtId="164" fontId="0" fillId="2" borderId="0" xfId="0" applyNumberFormat="1" applyFill="1" applyBorder="1"/>
    <xf numFmtId="164" fontId="2" fillId="2" borderId="5" xfId="0" applyNumberFormat="1" applyFont="1" applyFill="1" applyBorder="1" applyProtection="1"/>
    <xf numFmtId="164" fontId="0" fillId="2" borderId="6" xfId="0" applyNumberFormat="1" applyFill="1" applyBorder="1"/>
    <xf numFmtId="0" fontId="0" fillId="2" borderId="0" xfId="0" applyFill="1"/>
    <xf numFmtId="164" fontId="0" fillId="3" borderId="7" xfId="0" applyNumberFormat="1" applyFont="1" applyFill="1" applyBorder="1"/>
    <xf numFmtId="164" fontId="0" fillId="3" borderId="8" xfId="0" applyNumberFormat="1" applyFont="1" applyFill="1" applyBorder="1"/>
    <xf numFmtId="164" fontId="0" fillId="4" borderId="8" xfId="0" applyNumberFormat="1" applyFont="1" applyFill="1" applyBorder="1" applyProtection="1">
      <protection locked="0"/>
    </xf>
    <xf numFmtId="164" fontId="0" fillId="3" borderId="9" xfId="0" applyNumberFormat="1" applyFont="1" applyFill="1" applyBorder="1" applyProtection="1">
      <protection locked="0"/>
    </xf>
    <xf numFmtId="164" fontId="0" fillId="3" borderId="10" xfId="0" applyNumberFormat="1" applyFont="1" applyFill="1" applyBorder="1"/>
    <xf numFmtId="164" fontId="0" fillId="3" borderId="11" xfId="0" applyNumberFormat="1" applyFont="1" applyFill="1" applyBorder="1"/>
    <xf numFmtId="164" fontId="0" fillId="4" borderId="11" xfId="0" applyNumberFormat="1" applyFont="1" applyFill="1" applyBorder="1" applyProtection="1">
      <protection locked="0"/>
    </xf>
    <xf numFmtId="164" fontId="0" fillId="3" borderId="4" xfId="0" applyNumberFormat="1" applyFont="1" applyFill="1" applyBorder="1" applyProtection="1">
      <protection locked="0"/>
    </xf>
    <xf numFmtId="164" fontId="0" fillId="0" borderId="11" xfId="0" applyNumberFormat="1" applyFont="1" applyFill="1" applyBorder="1"/>
    <xf numFmtId="164" fontId="0" fillId="5" borderId="11" xfId="0" applyNumberFormat="1" applyFont="1" applyFill="1" applyBorder="1"/>
    <xf numFmtId="0" fontId="0" fillId="0" borderId="0" xfId="0" applyFill="1"/>
    <xf numFmtId="164" fontId="0" fillId="3" borderId="11" xfId="0" applyNumberFormat="1" applyFont="1" applyFill="1" applyBorder="1" applyAlignment="1">
      <alignment horizontal="right"/>
    </xf>
    <xf numFmtId="164" fontId="3" fillId="6" borderId="10" xfId="0" applyNumberFormat="1" applyFont="1" applyFill="1" applyBorder="1"/>
    <xf numFmtId="164" fontId="3" fillId="6" borderId="11" xfId="0" applyNumberFormat="1" applyFont="1" applyFill="1" applyBorder="1"/>
    <xf numFmtId="0" fontId="3" fillId="0" borderId="1" xfId="0" applyFont="1" applyBorder="1"/>
  </cellXfs>
  <cellStyles count="1">
    <cellStyle name="Standard" xfId="0" builtinId="0"/>
  </cellStyles>
  <dxfs count="2">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PI/Kopien%20vom%20SP/Milestone%20First%20Pass%20Rate_CES_Timpe_v0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lestoneFirstPassRate"/>
      <sheetName val="Milestone Dates"/>
      <sheetName val="MD_Archiv"/>
      <sheetName val="MD_Archiv (safe)"/>
      <sheetName val="Milestonelist"/>
      <sheetName val="Project-Nr"/>
      <sheetName val="ReadMe"/>
      <sheetName val="Daten"/>
      <sheetName val="PSB"/>
      <sheetName val="PSB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tabSelected="1" workbookViewId="0">
      <selection activeCell="A8" sqref="A8"/>
    </sheetView>
  </sheetViews>
  <sheetFormatPr baseColWidth="10" defaultRowHeight="13.8" x14ac:dyDescent="0.25"/>
  <cols>
    <col min="1" max="1" width="28.69921875" bestFit="1" customWidth="1"/>
  </cols>
  <sheetData>
    <row r="1" spans="1:15" x14ac:dyDescent="0.25">
      <c r="A1" s="1" t="s">
        <v>0</v>
      </c>
      <c r="B1" s="2">
        <v>42825</v>
      </c>
      <c r="C1" s="2">
        <v>42855</v>
      </c>
      <c r="D1" s="2">
        <v>42886</v>
      </c>
      <c r="E1" s="2">
        <v>42916</v>
      </c>
      <c r="F1" s="2">
        <v>42947</v>
      </c>
      <c r="G1" s="2">
        <v>42978</v>
      </c>
      <c r="H1" s="2">
        <v>43008</v>
      </c>
      <c r="I1" s="2">
        <v>43039</v>
      </c>
      <c r="J1" s="2">
        <v>43069</v>
      </c>
      <c r="K1" s="2">
        <v>43100</v>
      </c>
      <c r="L1" s="2">
        <v>43131</v>
      </c>
      <c r="M1" s="2">
        <v>43159</v>
      </c>
      <c r="N1" s="2">
        <v>43190</v>
      </c>
      <c r="O1" s="2">
        <v>43220</v>
      </c>
    </row>
    <row r="2" spans="1:15" x14ac:dyDescent="0.25">
      <c r="A2" s="1" t="s">
        <v>1</v>
      </c>
      <c r="B2" s="1">
        <f>SUM(COUNTIFS(Daten!$B2:$B16,"&gt;"&amp;A1,Daten!$B2:$B16,"&lt;="&amp;B1),COUNTIFS(Daten!$D2:$D16,"&gt;"&amp;A1,Daten!$D2:$D16,"&lt;="&amp;B1),COUNTIFS(Daten!$F2:$F16,"&gt;"&amp;A1,Daten!$F2:$F16,"&lt;="&amp;B1),COUNTIFS(Daten!$H2:$H16,"&gt;"&amp;A1,Daten!$H2:$H16,"&lt;="&amp;B1),COUNTIFS(Daten!$J2:$J16,"&gt;"&amp;A1,Daten!$J2:$J16,"&lt;="&amp;B1),COUNTIFS(Daten!$L2:$L16,"&gt;"&amp;A1,Daten!$L2:$L16,"&lt;="&amp;B1))</f>
        <v>0</v>
      </c>
      <c r="C2" s="1">
        <f>SUM(COUNTIFS(Daten!$B2:$B16,"&gt;"&amp;B1,Daten!$B2:$B16,"&lt;="&amp;C1),COUNTIFS(Daten!$D2:$D16,"&gt;"&amp;B1,Daten!$D2:$D16,"&lt;="&amp;C1),COUNTIFS(Daten!$F2:$F16,"&gt;"&amp;B1,Daten!$F2:$F16,"&lt;="&amp;C1),COUNTIFS(Daten!$H2:$H16,"&gt;"&amp;B1,Daten!$H2:$H16,"&lt;="&amp;C1),COUNTIFS(Daten!$J2:$J16,"&gt;"&amp;B1,Daten!$J2:$J16,"&lt;="&amp;C1),COUNTIFS(Daten!$L2:$L16,"&gt;"&amp;B1,Daten!$L2:$L16,"&lt;="&amp;C1))</f>
        <v>0</v>
      </c>
      <c r="D2" s="1">
        <f>SUM(COUNTIFS(Daten!$B2:$B16,"&gt;"&amp;C1,Daten!$B2:$B16,"&lt;="&amp;D1),COUNTIFS(Daten!$D2:$D16,"&gt;"&amp;C1,Daten!$D2:$D16,"&lt;="&amp;D1),COUNTIFS(Daten!$F2:$F16,"&gt;"&amp;C1,Daten!$F2:$F16,"&lt;="&amp;D1),COUNTIFS(Daten!$H2:$H16,"&gt;"&amp;C1,Daten!$H2:$H16,"&lt;="&amp;D1),COUNTIFS(Daten!$J2:$J16,"&gt;"&amp;C1,Daten!$J2:$J16,"&lt;="&amp;D1),COUNTIFS(Daten!$L2:$L16,"&gt;"&amp;C1,Daten!$L2:$L16,"&lt;="&amp;D1))</f>
        <v>0</v>
      </c>
      <c r="E2" s="1">
        <f>SUM(COUNTIFS(Daten!$B2:$B16,"&gt;"&amp;D1,Daten!$B2:$B16,"&lt;="&amp;E1),COUNTIFS(Daten!$D2:$D16,"&gt;"&amp;D1,Daten!$D2:$D16,"&lt;="&amp;E1),COUNTIFS(Daten!$F2:$F16,"&gt;"&amp;D1,Daten!$F2:$F16,"&lt;="&amp;E1),COUNTIFS(Daten!$H2:$H16,"&gt;"&amp;D1,Daten!$H2:$H16,"&lt;="&amp;E1),COUNTIFS(Daten!$J2:$J16,"&gt;"&amp;D1,Daten!$J2:$J16,"&lt;="&amp;E1),COUNTIFS(Daten!$L2:$L16,"&gt;"&amp;D1,Daten!$L2:$L16,"&lt;="&amp;E1))</f>
        <v>3</v>
      </c>
      <c r="F2" s="1">
        <f>SUM(COUNTIFS(Daten!$B2:$B16,"&gt;"&amp;E1,Daten!$B2:$B16,"&lt;="&amp;F1),COUNTIFS(Daten!$D2:$D16,"&gt;"&amp;E1,Daten!$D2:$D16,"&lt;="&amp;F1),COUNTIFS(Daten!$F2:$F16,"&gt;"&amp;E1,Daten!$F2:$F16,"&lt;="&amp;F1),COUNTIFS(Daten!$H2:$H16,"&gt;"&amp;E1,Daten!$H2:$H16,"&lt;="&amp;F1),COUNTIFS(Daten!$J2:$J16,"&gt;"&amp;E1,Daten!$J2:$J16,"&lt;="&amp;F1),COUNTIFS(Daten!$L2:$L16,"&gt;"&amp;E1,Daten!$L2:$L16,"&lt;="&amp;F1))</f>
        <v>0</v>
      </c>
      <c r="G2" s="1">
        <f>SUM(COUNTIFS(Daten!$B2:$B16,"&gt;"&amp;F1,Daten!$B2:$B16,"&lt;="&amp;G1),COUNTIFS(Daten!$D2:$D16,"&gt;"&amp;F1,Daten!$D2:$D16,"&lt;="&amp;G1),COUNTIFS(Daten!$F2:$F16,"&gt;"&amp;F1,Daten!$F2:$F16,"&lt;="&amp;G1),COUNTIFS(Daten!$H2:$H16,"&gt;"&amp;F1,Daten!$H2:$H16,"&lt;="&amp;G1),COUNTIFS(Daten!$J2:$J16,"&gt;"&amp;F1,Daten!$J2:$J16,"&lt;="&amp;G1),COUNTIFS(Daten!$L2:$L16,"&gt;"&amp;F1,Daten!$L2:$L16,"&lt;="&amp;G1))</f>
        <v>3</v>
      </c>
      <c r="H2" s="1">
        <f>SUM(COUNTIFS(Daten!$B2:$B16,"&gt;"&amp;G1,Daten!$B2:$B16,"&lt;="&amp;H1),COUNTIFS(Daten!$D2:$D16,"&gt;"&amp;G1,Daten!$D2:$D16,"&lt;="&amp;H1),COUNTIFS(Daten!$F2:$F16,"&gt;"&amp;G1,Daten!$F2:$F16,"&lt;="&amp;H1),COUNTIFS(Daten!$H2:$H16,"&gt;"&amp;G1,Daten!$H2:$H16,"&lt;="&amp;H1),COUNTIFS(Daten!$J2:$J16,"&gt;"&amp;G1,Daten!$J2:$J16,"&lt;="&amp;H1),COUNTIFS(Daten!$L2:$L16,"&gt;"&amp;G1,Daten!$L2:$L16,"&lt;="&amp;H1))</f>
        <v>1</v>
      </c>
      <c r="I2" s="1">
        <f>SUM(COUNTIFS(Daten!$B2:$B16,"&gt;"&amp;H1,Daten!$B2:$B16,"&lt;="&amp;I1),COUNTIFS(Daten!$D2:$D16,"&gt;"&amp;H1,Daten!$D2:$D16,"&lt;="&amp;I1),COUNTIFS(Daten!$F2:$F16,"&gt;"&amp;H1,Daten!$F2:$F16,"&lt;="&amp;I1),COUNTIFS(Daten!$H2:$H16,"&gt;"&amp;H1,Daten!$H2:$H16,"&lt;="&amp;I1),COUNTIFS(Daten!$J2:$J16,"&gt;"&amp;H1,Daten!$J2:$J16,"&lt;="&amp;I1),COUNTIFS(Daten!$L2:$L16,"&gt;"&amp;H1,Daten!$L2:$L16,"&lt;="&amp;I1))</f>
        <v>3</v>
      </c>
      <c r="J2" s="1">
        <f>SUM(COUNTIFS(Daten!$B2:$B16,"&gt;"&amp;I1,Daten!$B2:$B16,"&lt;="&amp;J1),COUNTIFS(Daten!$D2:$D16,"&gt;"&amp;I1,Daten!$D2:$D16,"&lt;="&amp;J1),COUNTIFS(Daten!$F2:$F16,"&gt;"&amp;I1,Daten!$F2:$F16,"&lt;="&amp;J1),COUNTIFS(Daten!$H2:$H16,"&gt;"&amp;I1,Daten!$H2:$H16,"&lt;="&amp;J1),COUNTIFS(Daten!$J2:$J16,"&gt;"&amp;I1,Daten!$J2:$J16,"&lt;="&amp;J1),COUNTIFS(Daten!$L2:$L16,"&gt;"&amp;I1,Daten!$L2:$L16,"&lt;="&amp;J1))</f>
        <v>0</v>
      </c>
      <c r="K2" s="1">
        <f>SUM(COUNTIFS(Daten!$B2:$B16,"&gt;"&amp;J1,Daten!$B2:$B16,"&lt;="&amp;K1),COUNTIFS(Daten!$D2:$D16,"&gt;"&amp;J1,Daten!$D2:$D16,"&lt;="&amp;K1),COUNTIFS(Daten!$F2:$F16,"&gt;"&amp;J1,Daten!$F2:$F16,"&lt;="&amp;K1),COUNTIFS(Daten!$H2:$H16,"&gt;"&amp;J1,Daten!$H2:$H16,"&lt;="&amp;K1),COUNTIFS(Daten!$J2:$J16,"&gt;"&amp;J1,Daten!$J2:$J16,"&lt;="&amp;K1),COUNTIFS(Daten!$L2:$L16,"&gt;"&amp;J1,Daten!$L2:$L16,"&lt;="&amp;K1))</f>
        <v>3</v>
      </c>
      <c r="L2" s="1">
        <f>SUM(COUNTIFS(Daten!$B2:$B16,"&gt;"&amp;K1,Daten!$B2:$B16,"&lt;="&amp;L1),COUNTIFS(Daten!$D2:$D16,"&gt;"&amp;K1,Daten!$D2:$D16,"&lt;="&amp;L1),COUNTIFS(Daten!$F2:$F16,"&gt;"&amp;K1,Daten!$F2:$F16,"&lt;="&amp;L1),COUNTIFS(Daten!$H2:$H16,"&gt;"&amp;K1,Daten!$H2:$H16,"&lt;="&amp;L1),COUNTIFS(Daten!$J2:$J16,"&gt;"&amp;K1,Daten!$J2:$J16,"&lt;="&amp;L1),COUNTIFS(Daten!$L2:$L16,"&gt;"&amp;K1,Daten!$L2:$L16,"&lt;="&amp;L1))</f>
        <v>2</v>
      </c>
      <c r="M2" s="1">
        <f>SUM(COUNTIFS(Daten!$B2:$B16,"&gt;"&amp;L1,Daten!$B2:$B16,"&lt;="&amp;M1),COUNTIFS(Daten!$D2:$D16,"&gt;"&amp;L1,Daten!$D2:$D16,"&lt;="&amp;M1),COUNTIFS(Daten!$F2:$F16,"&gt;"&amp;L1,Daten!$F2:$F16,"&lt;="&amp;M1),COUNTIFS(Daten!$H2:$H16,"&gt;"&amp;L1,Daten!$H2:$H16,"&lt;="&amp;M1),COUNTIFS(Daten!$J2:$J16,"&gt;"&amp;L1,Daten!$J2:$J16,"&lt;="&amp;M1),COUNTIFS(Daten!$L2:$L16,"&gt;"&amp;L1,Daten!$L2:$L16,"&lt;="&amp;M1))</f>
        <v>3</v>
      </c>
      <c r="N2" s="1">
        <f>SUM(COUNTIFS(Daten!$B2:$B16,"&gt;"&amp;M1,Daten!$B2:$B16,"&lt;="&amp;N1),COUNTIFS(Daten!$D2:$D16,"&gt;"&amp;M1,Daten!$D2:$D16,"&lt;="&amp;N1),COUNTIFS(Daten!$F2:$F16,"&gt;"&amp;M1,Daten!$F2:$F16,"&lt;="&amp;N1),COUNTIFS(Daten!$H2:$H16,"&gt;"&amp;M1,Daten!$H2:$H16,"&lt;="&amp;N1),COUNTIFS(Daten!$J2:$J16,"&gt;"&amp;M1,Daten!$J2:$J16,"&lt;="&amp;N1),COUNTIFS(Daten!$L2:$L16,"&gt;"&amp;M1,Daten!$L2:$L16,"&lt;="&amp;N1))</f>
        <v>1</v>
      </c>
    </row>
    <row r="3" spans="1:15" x14ac:dyDescent="0.25">
      <c r="A3" s="1" t="s">
        <v>24</v>
      </c>
      <c r="B3" s="1">
        <f>SUM(COUNTIFS(Daten!$B2:$B16,"&gt;"&amp;A1,Daten!$B2:$B16,"&lt;="&amp;B1,Daten!$C2:$C16,"&lt;="&amp;C1,Daten!$C2:$C16,"&gt;"&amp;1),COUNTIFS(Daten!$D2:$D16,"&gt;"&amp;A1,Daten!$D2:$D16,"&lt;="&amp;B1,Daten!$E2:$E16,"&lt;="&amp;C1,Daten!$E2:$E16,"&gt;"&amp;1),COUNTIFS(Daten!$F2:$F16,"&gt;"&amp;A1,Daten!$F2:$F16,"&lt;="&amp;B1,Daten!$G2:$G16,"&lt;="&amp;C1,Daten!$G2:$G16,"&gt;"&amp;1),COUNTIFS(Daten!$H2:$H16,"&gt;"&amp;A1,Daten!$H2:$H16,"&lt;="&amp;B1,Daten!$I2:$I16,"&lt;="&amp;C1,Daten!$I2:$I16,"&gt;"&amp;1),COUNTIFS(Daten!$J2:$J16,"&gt;"&amp;A1,Daten!$J2:$J16,"&lt;="&amp;B1,Daten!$K2:$K16,"&lt;="&amp;C1,Daten!$K2:$K16,"&gt;"&amp;1),COUNTIFS(Daten!$L2:$L16,"&gt;"&amp;A1,Daten!$L2:$L16,"&lt;="&amp;B1,Daten!$M2:$M16,"&lt;="&amp;C1,Daten!$M2:$M16,"&gt;"&amp;1))</f>
        <v>0</v>
      </c>
      <c r="C3" s="1">
        <f>SUM(COUNTIFS(Daten!$B2:$B16,"&gt;"&amp;B1,Daten!$B2:$B16,"&lt;="&amp;C1,Daten!$C2:$C16,"&lt;="&amp;D1,Daten!$C2:$C16,"&gt;"&amp;1),COUNTIFS(Daten!$D2:$D16,"&gt;"&amp;B1,Daten!$D2:$D16,"&lt;="&amp;C1,Daten!$E2:$E16,"&lt;="&amp;D1,Daten!$E2:$E16,"&gt;"&amp;1),COUNTIFS(Daten!$F2:$F16,"&gt;"&amp;B1,Daten!$F2:$F16,"&lt;="&amp;C1,Daten!$G2:$G16,"&lt;="&amp;D1,Daten!$G2:$G16,"&gt;"&amp;1),COUNTIFS(Daten!$H2:$H16,"&gt;"&amp;B1,Daten!$H2:$H16,"&lt;="&amp;C1,Daten!$I2:$I16,"&lt;="&amp;D1,Daten!$I2:$I16,"&gt;"&amp;1),COUNTIFS(Daten!$J2:$J16,"&gt;"&amp;B1,Daten!$J2:$J16,"&lt;="&amp;C1,Daten!$K2:$K16,"&lt;="&amp;D1,Daten!$K2:$K16,"&gt;"&amp;1),COUNTIFS(Daten!$L2:$L16,"&gt;"&amp;B1,Daten!$L2:$L16,"&lt;="&amp;C1,Daten!$M2:$M16,"&lt;="&amp;D1,Daten!$M2:$M16,"&gt;"&amp;1))</f>
        <v>0</v>
      </c>
      <c r="D3" s="1">
        <f>SUM(COUNTIFS(Daten!$B2:$B16,"&gt;"&amp;C1,Daten!$B2:$B16,"&lt;="&amp;D1,Daten!$C2:$C16,"&lt;="&amp;E1,Daten!$C2:$C16,"&gt;"&amp;1),COUNTIFS(Daten!$D2:$D16,"&gt;"&amp;C1,Daten!$D2:$D16,"&lt;="&amp;D1,Daten!$E2:$E16,"&lt;="&amp;E1,Daten!$E2:$E16,"&gt;"&amp;1),COUNTIFS(Daten!$F2:$F16,"&gt;"&amp;C1,Daten!$F2:$F16,"&lt;="&amp;D1,Daten!$G2:$G16,"&lt;="&amp;E1,Daten!$G2:$G16,"&gt;"&amp;1),COUNTIFS(Daten!$H2:$H16,"&gt;"&amp;C1,Daten!$H2:$H16,"&lt;="&amp;D1,Daten!$I2:$I16,"&lt;="&amp;E1,Daten!$I2:$I16,"&gt;"&amp;1),COUNTIFS(Daten!$J2:$J16,"&gt;"&amp;C1,Daten!$J2:$J16,"&lt;="&amp;D1,Daten!$K2:$K16,"&lt;="&amp;E1,Daten!$K2:$K16,"&gt;"&amp;1),COUNTIFS(Daten!$L2:$L16,"&gt;"&amp;C1,Daten!$L2:$L16,"&lt;="&amp;D1,Daten!$M2:$M16,"&lt;="&amp;E1,Daten!$M2:$M16,"&gt;"&amp;1))</f>
        <v>0</v>
      </c>
      <c r="E3" s="1">
        <f>SUM(COUNTIFS(Daten!$B2:$B16,"&gt;"&amp;D1,Daten!$B2:$B16,"&lt;="&amp;E1,Daten!$C2:$C16,"&lt;="&amp;F1,Daten!$C2:$C16,"&gt;"&amp;1),COUNTIFS(Daten!$D2:$D16,"&gt;"&amp;D1,Daten!$D2:$D16,"&lt;="&amp;E1,Daten!$E2:$E16,"&lt;="&amp;F1,Daten!$E2:$E16,"&gt;"&amp;1),COUNTIFS(Daten!$F2:$F16,"&gt;"&amp;D1,Daten!$F2:$F16,"&lt;="&amp;E1,Daten!$G2:$G16,"&lt;="&amp;F1,Daten!$G2:$G16,"&gt;"&amp;1),COUNTIFS(Daten!$H2:$H16,"&gt;"&amp;D1,Daten!$H2:$H16,"&lt;="&amp;E1,Daten!$I2:$I16,"&lt;="&amp;F1,Daten!$I2:$I16,"&gt;"&amp;1),COUNTIFS(Daten!$J2:$J16,"&gt;"&amp;D1,Daten!$J2:$J16,"&lt;="&amp;E1,Daten!$K2:$K16,"&lt;="&amp;F1,Daten!$K2:$K16,"&gt;"&amp;1),COUNTIFS(Daten!$L2:$L16,"&gt;"&amp;D1,Daten!$L2:$L16,"&lt;="&amp;E1,Daten!$M2:$M16,"&lt;="&amp;F1,Daten!$M2:$M16,"&gt;"&amp;1))</f>
        <v>0</v>
      </c>
      <c r="F3" s="1">
        <f>SUM(COUNTIFS(Daten!$B2:$B16,"&gt;"&amp;E1,Daten!$B2:$B16,"&lt;="&amp;F1,Daten!$C2:$C16,"&lt;="&amp;G1,Daten!$C2:$C16,"&gt;"&amp;1),COUNTIFS(Daten!$D2:$D16,"&gt;"&amp;E1,Daten!$D2:$D16,"&lt;="&amp;F1,Daten!$E2:$E16,"&lt;="&amp;G1,Daten!$E2:$E16,"&gt;"&amp;1),COUNTIFS(Daten!$F2:$F16,"&gt;"&amp;E1,Daten!$F2:$F16,"&lt;="&amp;F1,Daten!$G2:$G16,"&lt;="&amp;G1,Daten!$G2:$G16,"&gt;"&amp;1),COUNTIFS(Daten!$H2:$H16,"&gt;"&amp;E1,Daten!$H2:$H16,"&lt;="&amp;F1,Daten!$I2:$I16,"&lt;="&amp;G1,Daten!$I2:$I16,"&gt;"&amp;1),COUNTIFS(Daten!$J2:$J16,"&gt;"&amp;E1,Daten!$J2:$J16,"&lt;="&amp;F1,Daten!$K2:$K16,"&lt;="&amp;G1,Daten!$K2:$K16,"&gt;"&amp;1),COUNTIFS(Daten!$L2:$L16,"&gt;"&amp;E1,Daten!$L2:$L16,"&lt;="&amp;F1,Daten!$M2:$M16,"&lt;="&amp;G1,Daten!$M2:$M16,"&gt;"&amp;1))</f>
        <v>0</v>
      </c>
      <c r="G3" s="1">
        <f>SUM(COUNTIFS(Daten!$B2:$B16,"&gt;"&amp;F1,Daten!$B2:$B16,"&lt;="&amp;G1,Daten!$C2:$C16,"&lt;="&amp;H1,Daten!$C2:$C16,"&gt;"&amp;1),COUNTIFS(Daten!$D2:$D16,"&gt;"&amp;F1,Daten!$D2:$D16,"&lt;="&amp;G1,Daten!$E2:$E16,"&lt;="&amp;H1,Daten!$E2:$E16,"&gt;"&amp;1),COUNTIFS(Daten!$F2:$F16,"&gt;"&amp;F1,Daten!$F2:$F16,"&lt;="&amp;G1,Daten!$G2:$G16,"&lt;="&amp;H1,Daten!$G2:$G16,"&gt;"&amp;1),COUNTIFS(Daten!$H2:$H16,"&gt;"&amp;F1,Daten!$H2:$H16,"&lt;="&amp;G1,Daten!$I2:$I16,"&lt;="&amp;H1,Daten!$I2:$I16,"&gt;"&amp;1),COUNTIFS(Daten!$J2:$J16,"&gt;"&amp;F1,Daten!$J2:$J16,"&lt;="&amp;G1,Daten!$K2:$K16,"&lt;="&amp;H1,Daten!$K2:$K16,"&gt;"&amp;1),COUNTIFS(Daten!$L2:$L16,"&gt;"&amp;F1,Daten!$L2:$L16,"&lt;="&amp;G1,Daten!$M2:$M16,"&lt;="&amp;H1,Daten!$M2:$M16,"&gt;"&amp;1))</f>
        <v>3</v>
      </c>
      <c r="H3" s="1">
        <f>SUM(COUNTIFS(Daten!$B2:$B16,"&gt;"&amp;G1,Daten!$B2:$B16,"&lt;="&amp;H1,Daten!$C2:$C16,"&lt;="&amp;I1,Daten!$C2:$C16,"&gt;"&amp;1),COUNTIFS(Daten!$D2:$D16,"&gt;"&amp;G1,Daten!$D2:$D16,"&lt;="&amp;H1,Daten!$E2:$E16,"&lt;="&amp;I1,Daten!$E2:$E16,"&gt;"&amp;1),COUNTIFS(Daten!$F2:$F16,"&gt;"&amp;G1,Daten!$F2:$F16,"&lt;="&amp;H1,Daten!$G2:$G16,"&lt;="&amp;I1,Daten!$G2:$G16,"&gt;"&amp;1),COUNTIFS(Daten!$H2:$H16,"&gt;"&amp;G1,Daten!$H2:$H16,"&lt;="&amp;H1,Daten!$I2:$I16,"&lt;="&amp;I1,Daten!$I2:$I16,"&gt;"&amp;1),COUNTIFS(Daten!$J2:$J16,"&gt;"&amp;G1,Daten!$J2:$J16,"&lt;="&amp;H1,Daten!$K2:$K16,"&lt;="&amp;I1,Daten!$K2:$K16,"&gt;"&amp;1),COUNTIFS(Daten!$L2:$L16,"&gt;"&amp;G1,Daten!$L2:$L16,"&lt;="&amp;H1,Daten!$M2:$M16,"&lt;="&amp;I1,Daten!$M2:$M16,"&gt;"&amp;1))</f>
        <v>1</v>
      </c>
      <c r="I3" s="1">
        <f>SUM(COUNTIFS(Daten!$B2:$B16,"&gt;"&amp;H1,Daten!$B2:$B16,"&lt;="&amp;I1,Daten!$C2:$C16,"&lt;="&amp;J1,Daten!$C2:$C16,"&gt;"&amp;1),COUNTIFS(Daten!$D2:$D16,"&gt;"&amp;H1,Daten!$D2:$D16,"&lt;="&amp;I1,Daten!$E2:$E16,"&lt;="&amp;J1,Daten!$E2:$E16,"&gt;"&amp;1),COUNTIFS(Daten!$F2:$F16,"&gt;"&amp;H1,Daten!$F2:$F16,"&lt;="&amp;I1,Daten!$G2:$G16,"&lt;="&amp;J1,Daten!$G2:$G16,"&gt;"&amp;1),COUNTIFS(Daten!$H2:$H16,"&gt;"&amp;H1,Daten!$H2:$H16,"&lt;="&amp;I1,Daten!$I2:$I16,"&lt;="&amp;J1,Daten!$I2:$I16,"&gt;"&amp;1),COUNTIFS(Daten!$J2:$J16,"&gt;"&amp;H1,Daten!$J2:$J16,"&lt;="&amp;I1,Daten!$K2:$K16,"&lt;="&amp;J1,Daten!$K2:$K16,"&gt;"&amp;1),COUNTIFS(Daten!$L2:$L16,"&gt;"&amp;H1,Daten!$L2:$L16,"&lt;="&amp;I1,Daten!$M2:$M16,"&lt;="&amp;J1,Daten!$M2:$M16,"&gt;"&amp;1))</f>
        <v>2</v>
      </c>
      <c r="J3" s="1">
        <f>SUM(COUNTIFS(Daten!$B2:$B16,"&gt;"&amp;I1,Daten!$B2:$B16,"&lt;="&amp;J1,Daten!$C2:$C16,"&lt;="&amp;K1,Daten!$C2:$C16,"&gt;"&amp;1),COUNTIFS(Daten!$D2:$D16,"&gt;"&amp;I1,Daten!$D2:$D16,"&lt;="&amp;J1,Daten!$E2:$E16,"&lt;="&amp;K1,Daten!$E2:$E16,"&gt;"&amp;1),COUNTIFS(Daten!$F2:$F16,"&gt;"&amp;I1,Daten!$F2:$F16,"&lt;="&amp;J1,Daten!$G2:$G16,"&lt;="&amp;K1,Daten!$G2:$G16,"&gt;"&amp;1),COUNTIFS(Daten!$H2:$H16,"&gt;"&amp;I1,Daten!$H2:$H16,"&lt;="&amp;J1,Daten!$I2:$I16,"&lt;="&amp;K1,Daten!$I2:$I16,"&gt;"&amp;1),COUNTIFS(Daten!$J2:$J16,"&gt;"&amp;I1,Daten!$J2:$J16,"&lt;="&amp;J1,Daten!$K2:$K16,"&lt;="&amp;K1,Daten!$K2:$K16,"&gt;"&amp;1),COUNTIFS(Daten!$L2:$L16,"&gt;"&amp;I1,Daten!$L2:$L16,"&lt;="&amp;J1,Daten!$M2:$M16,"&lt;="&amp;K1,Daten!$M2:$M16,"&gt;"&amp;1))</f>
        <v>0</v>
      </c>
      <c r="K3" s="1">
        <f>SUM(COUNTIFS(Daten!$B2:$B16,"&gt;"&amp;J1,Daten!$B2:$B16,"&lt;="&amp;K1,Daten!$C2:$C16,"&lt;="&amp;L1,Daten!$C2:$C16,"&gt;"&amp;1),COUNTIFS(Daten!$D2:$D16,"&gt;"&amp;J1,Daten!$D2:$D16,"&lt;="&amp;K1,Daten!$E2:$E16,"&lt;="&amp;L1,Daten!$E2:$E16,"&gt;"&amp;1),COUNTIFS(Daten!$F2:$F16,"&gt;"&amp;J1,Daten!$F2:$F16,"&lt;="&amp;K1,Daten!$G2:$G16,"&lt;="&amp;L1,Daten!$G2:$G16,"&gt;"&amp;1),COUNTIFS(Daten!$H2:$H16,"&gt;"&amp;J1,Daten!$H2:$H16,"&lt;="&amp;K1,Daten!$I2:$I16,"&lt;="&amp;L1,Daten!$I2:$I16,"&gt;"&amp;1),COUNTIFS(Daten!$J2:$J16,"&gt;"&amp;J1,Daten!$J2:$J16,"&lt;="&amp;K1,Daten!$K2:$K16,"&lt;="&amp;L1,Daten!$K2:$K16,"&gt;"&amp;1),COUNTIFS(Daten!$L2:$L16,"&gt;"&amp;J1,Daten!$L2:$L16,"&lt;="&amp;K1,Daten!$M2:$M16,"&lt;="&amp;L1,Daten!$M2:$M16,"&gt;"&amp;1))</f>
        <v>3</v>
      </c>
      <c r="L3" s="24">
        <f>SUM(COUNTIFS(Daten!$B2:$B16,"&gt;"&amp;K1,Daten!$B2:$B16,"&lt;="&amp;L1,Daten!$C2:$C16,"&lt;="&amp;M1,Daten!$C2:$C16,"&gt;"&amp;1),COUNTIFS(Daten!$D2:$D16,"&gt;"&amp;K1,Daten!$D2:$D16,"&lt;="&amp;L1,Daten!$E2:$E16,"&lt;="&amp;M1,Daten!$E2:$E16,"&gt;"&amp;1),COUNTIFS(Daten!$F2:$F16,"&gt;"&amp;K1,Daten!$F2:$F16,"&lt;="&amp;L1,Daten!$G2:$G16,"&lt;="&amp;M1,Daten!$G2:$G16,"&gt;"&amp;1),COUNTIFS(Daten!$H2:$H16,"&gt;"&amp;K1,Daten!$H2:$H16,"&lt;="&amp;L1,Daten!$I2:$I16,"&lt;="&amp;M1,Daten!$I2:$I16,"&gt;"&amp;1),COUNTIFS(Daten!$J2:$J16,"&gt;"&amp;K1,Daten!$J2:$J16,"&lt;="&amp;L1,Daten!$K2:$K16,"&lt;="&amp;M1,Daten!$K2:$K16,"&gt;"&amp;1),COUNTIFS(Daten!$L2:$L16,"&gt;"&amp;K1,Daten!$L2:$L16,"&lt;="&amp;L1,Daten!$M2:$M16,"&lt;="&amp;M1,Daten!$M2:$M16,"&gt;"&amp;1))</f>
        <v>2</v>
      </c>
      <c r="M3" s="1">
        <f>SUM(COUNTIFS(Daten!$B2:$B16,"&gt;"&amp;L1,Daten!$B2:$B16,"&lt;="&amp;M1,Daten!$C2:$C16,"&lt;="&amp;N1,Daten!$C2:$C16,"&gt;"&amp;1),COUNTIFS(Daten!$D2:$D16,"&gt;"&amp;L1,Daten!$D2:$D16,"&lt;="&amp;M1,Daten!$E2:$E16,"&lt;="&amp;N1,Daten!$E2:$E16,"&gt;"&amp;1),COUNTIFS(Daten!$F2:$F16,"&gt;"&amp;L1,Daten!$F2:$F16,"&lt;="&amp;M1,Daten!$G2:$G16,"&lt;="&amp;N1,Daten!$G2:$G16,"&gt;"&amp;1),COUNTIFS(Daten!$H2:$H16,"&gt;"&amp;L1,Daten!$H2:$H16,"&lt;="&amp;M1,Daten!$I2:$I16,"&lt;="&amp;N1,Daten!$I2:$I16,"&gt;"&amp;1),COUNTIFS(Daten!$J2:$J16,"&gt;"&amp;L1,Daten!$J2:$J16,"&lt;="&amp;M1,Daten!$K2:$K16,"&lt;="&amp;N1,Daten!$K2:$K16,"&gt;"&amp;1),COUNTIFS(Daten!$L2:$L16,"&gt;"&amp;L1,Daten!$L2:$L16,"&lt;="&amp;M1,Daten!$M2:$M16,"&lt;="&amp;N1,Daten!$M2:$M16,"&gt;"&amp;1))</f>
        <v>1</v>
      </c>
      <c r="N3" s="1">
        <f>SUM(COUNTIFS(Daten!$B2:$B16,"&gt;"&amp;M1,Daten!$B2:$B16,"&lt;="&amp;N1,Daten!$C2:$C16,"&lt;="&amp;O1,Daten!$C2:$C16,"&gt;"&amp;1),COUNTIFS(Daten!$D2:$D16,"&gt;"&amp;M1,Daten!$D2:$D16,"&lt;="&amp;N1,Daten!$E2:$E16,"&lt;="&amp;O1,Daten!$E2:$E16,"&gt;"&amp;1),COUNTIFS(Daten!$F2:$F16,"&gt;"&amp;M1,Daten!$F2:$F16,"&lt;="&amp;N1,Daten!$G2:$G16,"&lt;="&amp;O1,Daten!$G2:$G16,"&gt;"&amp;1),COUNTIFS(Daten!$H2:$H16,"&gt;"&amp;M1,Daten!$H2:$H16,"&lt;="&amp;N1,Daten!$I2:$I16,"&lt;="&amp;O1,Daten!$I2:$I16,"&gt;"&amp;1),COUNTIFS(Daten!$J2:$J16,"&gt;"&amp;M1,Daten!$J2:$J16,"&lt;="&amp;N1,Daten!$K2:$K16,"&lt;="&amp;O1,Daten!$K2:$K16,"&gt;"&amp;1),COUNTIFS(Daten!$L2:$L16,"&gt;"&amp;M1,Daten!$L2:$L16,"&lt;="&amp;N1,Daten!$M2:$M16,"&lt;="&amp;O1,Daten!$M2:$M16,"&gt;"&amp;1))</f>
        <v>0</v>
      </c>
    </row>
    <row r="5" spans="1:15" x14ac:dyDescent="0.25">
      <c r="J5" t="s">
        <v>25</v>
      </c>
      <c r="L5">
        <f>SUM(COUNTIFS(Daten!$B2:$B16,"&gt;"&amp;K1,Daten!$B2:$B16,"&lt;="&amp;L1,Daten!$C2:$C16,"&lt;="&amp;Daten!B2:B16+30,Daten!$C2:$C16,"&gt;"&amp;1),COUNTIFS(Daten!$D2:$D16,"&gt;"&amp;K1,Daten!$D2:$D16,"&lt;="&amp;L1,Daten!$E2:$E16,"&lt;="&amp;M1,Daten!$E2:$E16,"&gt;"&amp;1),COUNTIFS(Daten!$F2:$F16,"&gt;"&amp;K1,Daten!$F2:$F16,"&lt;="&amp;L1,Daten!$G2:$G16,"&lt;="&amp;M1,Daten!$G2:$G16,"&gt;"&amp;1),COUNTIFS(Daten!$H2:$H16,"&gt;"&amp;K1,Daten!$H2:$H16,"&lt;="&amp;L1,Daten!$I2:$I16,"&lt;="&amp;M1,Daten!$I2:$I16,"&gt;"&amp;1),COUNTIFS(Daten!$J2:$J16,"&gt;"&amp;K1,Daten!$J2:$J16,"&lt;="&amp;L1,Daten!$K2:$K16,"&lt;="&amp;M1,Daten!$K2:$K16,"&gt;"&amp;1),COUNTIFS(Daten!$L2:$L16,"&gt;"&amp;K1,Daten!$L2:$L16,"&lt;="&amp;L1,Daten!$M2:$M16,"&lt;="&amp;M1,Daten!$M2:$M16,"&gt;"&amp;1))</f>
        <v>0</v>
      </c>
    </row>
    <row r="6" spans="1:15" x14ac:dyDescent="0.25">
      <c r="A6" t="s">
        <v>28</v>
      </c>
    </row>
    <row r="7" spans="1:15" x14ac:dyDescent="0.25">
      <c r="A7" t="s">
        <v>29</v>
      </c>
    </row>
    <row r="8" spans="1:15" x14ac:dyDescent="0.25">
      <c r="A8" t="s">
        <v>30</v>
      </c>
    </row>
    <row r="9" spans="1:15" x14ac:dyDescent="0.25">
      <c r="A9" t="s">
        <v>26</v>
      </c>
    </row>
    <row r="10" spans="1:15" x14ac:dyDescent="0.25">
      <c r="A10" t="s">
        <v>27</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activeCell="A17" sqref="A17"/>
    </sheetView>
  </sheetViews>
  <sheetFormatPr baseColWidth="10" defaultRowHeight="13.8" x14ac:dyDescent="0.25"/>
  <cols>
    <col min="1" max="1" width="29.09765625" customWidth="1"/>
    <col min="2" max="3" width="10.69921875" customWidth="1"/>
    <col min="4" max="4" width="10.69921875" bestFit="1" customWidth="1"/>
    <col min="5" max="5" width="10.19921875" bestFit="1" customWidth="1"/>
    <col min="6" max="6" width="10.296875" style="20"/>
    <col min="7" max="7" width="10.296875" style="20" customWidth="1"/>
    <col min="8" max="11" width="10.296875" style="20"/>
    <col min="12" max="13" width="10.296875"/>
  </cols>
  <sheetData>
    <row r="1" spans="1:13" ht="15" thickBot="1" x14ac:dyDescent="0.35">
      <c r="A1" s="3" t="s">
        <v>2</v>
      </c>
      <c r="B1" s="4" t="s">
        <v>19</v>
      </c>
      <c r="C1" s="5" t="s">
        <v>20</v>
      </c>
      <c r="D1" s="6" t="s">
        <v>22</v>
      </c>
      <c r="E1" s="7" t="s">
        <v>24</v>
      </c>
      <c r="F1" s="4" t="s">
        <v>23</v>
      </c>
      <c r="G1" s="7" t="s">
        <v>24</v>
      </c>
      <c r="H1" s="8" t="s">
        <v>21</v>
      </c>
      <c r="I1" s="7" t="s">
        <v>24</v>
      </c>
      <c r="J1" s="4" t="s">
        <v>21</v>
      </c>
      <c r="K1" s="7" t="s">
        <v>24</v>
      </c>
      <c r="L1" s="6" t="s">
        <v>21</v>
      </c>
      <c r="M1" s="7" t="s">
        <v>24</v>
      </c>
    </row>
    <row r="2" spans="1:13" x14ac:dyDescent="0.25">
      <c r="A2" s="9" t="s">
        <v>3</v>
      </c>
      <c r="B2" s="10">
        <v>41334</v>
      </c>
      <c r="C2" s="11"/>
      <c r="D2" s="11">
        <v>41579</v>
      </c>
      <c r="E2" s="12"/>
      <c r="F2" s="11">
        <v>43009</v>
      </c>
      <c r="G2" s="12">
        <v>43067</v>
      </c>
      <c r="H2" s="11">
        <v>43250</v>
      </c>
      <c r="I2" s="12"/>
      <c r="J2" s="11"/>
      <c r="K2" s="12"/>
      <c r="L2" s="11"/>
      <c r="M2" s="13"/>
    </row>
    <row r="3" spans="1:13" x14ac:dyDescent="0.25">
      <c r="A3" s="9" t="s">
        <v>4</v>
      </c>
      <c r="B3" s="14"/>
      <c r="C3" s="15"/>
      <c r="D3" s="15"/>
      <c r="E3" s="16"/>
      <c r="F3" s="15"/>
      <c r="G3" s="16">
        <v>0</v>
      </c>
      <c r="H3" s="15"/>
      <c r="I3" s="16"/>
      <c r="J3" s="15"/>
      <c r="K3" s="16"/>
      <c r="L3" s="15"/>
      <c r="M3" s="17"/>
    </row>
    <row r="4" spans="1:13" x14ac:dyDescent="0.25">
      <c r="A4" s="9" t="s">
        <v>5</v>
      </c>
      <c r="B4" s="14">
        <v>41967</v>
      </c>
      <c r="C4" s="15"/>
      <c r="D4" s="15">
        <v>42423</v>
      </c>
      <c r="E4" s="16"/>
      <c r="F4" s="15">
        <v>42996</v>
      </c>
      <c r="G4" s="16">
        <v>42996</v>
      </c>
      <c r="H4" s="18">
        <v>43154</v>
      </c>
      <c r="I4" s="16"/>
      <c r="J4" s="15">
        <v>43388</v>
      </c>
      <c r="K4" s="16"/>
      <c r="L4" s="15">
        <v>43438</v>
      </c>
      <c r="M4" s="17"/>
    </row>
    <row r="5" spans="1:13" x14ac:dyDescent="0.25">
      <c r="A5" s="9" t="s">
        <v>6</v>
      </c>
      <c r="B5" s="14"/>
      <c r="C5" s="15"/>
      <c r="D5" s="15"/>
      <c r="E5" s="16"/>
      <c r="F5" s="15">
        <v>42915</v>
      </c>
      <c r="G5" s="16">
        <v>42996</v>
      </c>
      <c r="H5" s="15">
        <v>43250</v>
      </c>
      <c r="I5" s="16"/>
      <c r="J5" s="15">
        <v>43738</v>
      </c>
      <c r="K5" s="16"/>
      <c r="L5" s="15"/>
      <c r="M5" s="17"/>
    </row>
    <row r="6" spans="1:13" x14ac:dyDescent="0.25">
      <c r="A6" s="9" t="s">
        <v>7</v>
      </c>
      <c r="B6" s="14">
        <v>41708</v>
      </c>
      <c r="C6" s="15"/>
      <c r="D6" s="15">
        <v>42026</v>
      </c>
      <c r="E6" s="16"/>
      <c r="F6" s="15">
        <v>42496</v>
      </c>
      <c r="G6" s="16">
        <v>0</v>
      </c>
      <c r="H6" s="19">
        <v>43137</v>
      </c>
      <c r="I6" s="16">
        <v>43137</v>
      </c>
      <c r="J6" s="15">
        <v>43373</v>
      </c>
      <c r="K6" s="16"/>
      <c r="L6" s="15">
        <v>43373</v>
      </c>
      <c r="M6" s="17"/>
    </row>
    <row r="7" spans="1:13" x14ac:dyDescent="0.25">
      <c r="A7" s="9" t="s">
        <v>8</v>
      </c>
      <c r="B7" s="14">
        <v>42591</v>
      </c>
      <c r="C7" s="15"/>
      <c r="D7" s="15">
        <v>42591</v>
      </c>
      <c r="E7" s="16"/>
      <c r="F7" s="15">
        <v>42901</v>
      </c>
      <c r="G7" s="16">
        <v>43210</v>
      </c>
      <c r="H7" s="15">
        <v>42978</v>
      </c>
      <c r="I7" s="16">
        <v>42983</v>
      </c>
      <c r="J7" s="15">
        <v>43159</v>
      </c>
      <c r="K7" s="16"/>
      <c r="L7" s="21" t="s">
        <v>13</v>
      </c>
      <c r="M7" s="17"/>
    </row>
    <row r="8" spans="1:13" x14ac:dyDescent="0.25">
      <c r="A8" s="9" t="s">
        <v>9</v>
      </c>
      <c r="B8" s="14"/>
      <c r="C8" s="15"/>
      <c r="D8" s="15"/>
      <c r="E8" s="16"/>
      <c r="F8" s="15"/>
      <c r="G8" s="16">
        <v>0</v>
      </c>
      <c r="H8" s="15"/>
      <c r="I8" s="16"/>
      <c r="J8" s="15"/>
      <c r="K8" s="16"/>
      <c r="L8" s="15"/>
      <c r="M8" s="17"/>
    </row>
    <row r="9" spans="1:13" x14ac:dyDescent="0.25">
      <c r="A9" s="9" t="s">
        <v>10</v>
      </c>
      <c r="B9" s="14">
        <v>43115</v>
      </c>
      <c r="C9" s="15">
        <v>43127</v>
      </c>
      <c r="D9" s="15">
        <v>42220</v>
      </c>
      <c r="E9" s="16"/>
      <c r="F9" s="15">
        <v>42332</v>
      </c>
      <c r="G9" s="16">
        <v>0</v>
      </c>
      <c r="H9" s="15">
        <v>42521</v>
      </c>
      <c r="I9" s="16"/>
      <c r="J9" s="15">
        <v>43009</v>
      </c>
      <c r="K9" s="16"/>
      <c r="L9" s="15">
        <v>43220</v>
      </c>
      <c r="M9" s="17"/>
    </row>
    <row r="10" spans="1:13" x14ac:dyDescent="0.25">
      <c r="A10" s="9" t="s">
        <v>11</v>
      </c>
      <c r="B10" s="22">
        <v>43112</v>
      </c>
      <c r="C10" s="23">
        <v>43150</v>
      </c>
      <c r="D10" s="15">
        <v>41333</v>
      </c>
      <c r="E10" s="16"/>
      <c r="F10" s="15">
        <v>41608</v>
      </c>
      <c r="G10" s="16">
        <v>0</v>
      </c>
      <c r="H10" s="15">
        <v>42524</v>
      </c>
      <c r="I10" s="16"/>
      <c r="J10" s="15">
        <v>42704</v>
      </c>
      <c r="K10" s="16"/>
      <c r="L10" s="15">
        <v>43070</v>
      </c>
      <c r="M10" s="17">
        <v>43070</v>
      </c>
    </row>
    <row r="11" spans="1:13" x14ac:dyDescent="0.25">
      <c r="A11" s="9" t="s">
        <v>12</v>
      </c>
      <c r="B11" s="14">
        <v>42321</v>
      </c>
      <c r="C11" s="15"/>
      <c r="D11" s="15">
        <v>42633</v>
      </c>
      <c r="E11" s="16"/>
      <c r="F11" s="15">
        <v>43192</v>
      </c>
      <c r="G11" s="16">
        <v>0</v>
      </c>
      <c r="H11" s="15">
        <v>43556</v>
      </c>
      <c r="I11" s="16"/>
      <c r="J11" s="15">
        <v>43647</v>
      </c>
      <c r="K11" s="16"/>
      <c r="L11" s="15">
        <v>43709</v>
      </c>
      <c r="M11" s="17"/>
    </row>
    <row r="12" spans="1:13" x14ac:dyDescent="0.25">
      <c r="A12" s="9" t="s">
        <v>14</v>
      </c>
      <c r="B12" s="14">
        <v>42346</v>
      </c>
      <c r="C12" s="15"/>
      <c r="D12" s="15">
        <v>42346</v>
      </c>
      <c r="E12" s="16"/>
      <c r="F12" s="15">
        <v>42970</v>
      </c>
      <c r="G12" s="16">
        <v>42970</v>
      </c>
      <c r="H12" s="15">
        <v>43070</v>
      </c>
      <c r="I12" s="16">
        <v>43080</v>
      </c>
      <c r="J12" s="15">
        <v>43342</v>
      </c>
      <c r="K12" s="16"/>
      <c r="L12" s="15">
        <v>43373</v>
      </c>
      <c r="M12" s="17"/>
    </row>
    <row r="13" spans="1:13" x14ac:dyDescent="0.25">
      <c r="A13" s="9" t="s">
        <v>15</v>
      </c>
      <c r="B13" s="14">
        <v>42815</v>
      </c>
      <c r="C13" s="15"/>
      <c r="D13" s="15">
        <v>42899</v>
      </c>
      <c r="E13" s="16"/>
      <c r="F13" s="15">
        <v>43081</v>
      </c>
      <c r="G13" s="16">
        <v>43081</v>
      </c>
      <c r="H13" s="15">
        <v>43160</v>
      </c>
      <c r="I13" s="16"/>
      <c r="J13" s="15">
        <v>43374</v>
      </c>
      <c r="K13" s="16"/>
      <c r="L13" s="15"/>
      <c r="M13" s="17"/>
    </row>
    <row r="14" spans="1:13" x14ac:dyDescent="0.25">
      <c r="A14" s="9" t="s">
        <v>16</v>
      </c>
      <c r="B14" s="14"/>
      <c r="C14" s="15"/>
      <c r="D14" s="15"/>
      <c r="E14" s="16"/>
      <c r="F14" s="15"/>
      <c r="G14" s="16">
        <v>0</v>
      </c>
      <c r="H14" s="15"/>
      <c r="I14" s="16"/>
      <c r="J14" s="15"/>
      <c r="K14" s="16"/>
      <c r="L14" s="15"/>
      <c r="M14" s="17"/>
    </row>
    <row r="15" spans="1:13" x14ac:dyDescent="0.25">
      <c r="A15" s="9" t="s">
        <v>17</v>
      </c>
      <c r="B15" s="14">
        <v>42019</v>
      </c>
      <c r="C15" s="15"/>
      <c r="D15" s="15">
        <v>42248</v>
      </c>
      <c r="E15" s="16"/>
      <c r="F15" s="15">
        <v>42969</v>
      </c>
      <c r="G15" s="16">
        <v>42969</v>
      </c>
      <c r="H15" s="15">
        <v>43220</v>
      </c>
      <c r="I15" s="16"/>
      <c r="J15" s="15">
        <v>43336</v>
      </c>
      <c r="K15" s="16"/>
      <c r="L15" s="15">
        <v>43371</v>
      </c>
      <c r="M15" s="17"/>
    </row>
    <row r="16" spans="1:13" x14ac:dyDescent="0.25">
      <c r="A16" s="9" t="s">
        <v>18</v>
      </c>
      <c r="B16" s="14">
        <v>42689</v>
      </c>
      <c r="C16" s="15"/>
      <c r="D16" s="15">
        <v>43025</v>
      </c>
      <c r="E16" s="16">
        <v>43025</v>
      </c>
      <c r="F16" s="15">
        <v>43256</v>
      </c>
      <c r="G16" s="16">
        <v>0</v>
      </c>
      <c r="H16" s="15">
        <v>43417</v>
      </c>
      <c r="I16" s="16"/>
      <c r="J16" s="15"/>
      <c r="K16" s="16"/>
      <c r="L16" s="15">
        <v>43557</v>
      </c>
      <c r="M16" s="17"/>
    </row>
  </sheetData>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expression" priority="1" id="{FC538222-BB61-4E62-802B-28A3670F0575}">
            <xm:f>IF(ISNA(VLOOKUP(B2,'\KPI\Kopien vom SP\[Milestone First Pass Rate_CES_Timpe_v02.xlsm]Milestonelist'!#REF!,2,FALSE))=FALSE,TRUE,FALSE)</xm:f>
            <x14:dxf>
              <fill>
                <patternFill>
                  <bgColor theme="0"/>
                </patternFill>
              </fill>
            </x14:dxf>
          </x14:cfRule>
          <xm:sqref>B2:B16 D2:D16 F2:F16 H2:H16 J2:J16 L2:L16</xm:sqref>
        </x14:conditionalFormatting>
        <x14:conditionalFormatting xmlns:xm="http://schemas.microsoft.com/office/excel/2006/main">
          <x14:cfRule type="expression" priority="2" id="{07DC5DEA-ABD5-4C52-BF77-9BBAB69E8807}">
            <xm:f>IF(ISNA(VLOOKUP(B2,'\KPI\Kopien vom SP\[Milestone First Pass Rate_CES_Timpe_v02.xlsm]Milestonelist'!#REF!,2,FALSE))=FALSE,TRUE,FALSE)</xm:f>
            <x14:dxf>
              <fill>
                <patternFill>
                  <bgColor theme="0"/>
                </patternFill>
              </fill>
            </x14:dxf>
          </x14:cfRule>
          <xm:sqref>E2:E16 G2:G16 I2:I16 C2:C16 K2:K16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Bericht</vt:lpstr>
      <vt:lpstr>Daten</vt:lpstr>
    </vt:vector>
  </TitlesOfParts>
  <Company>CLAAS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Timpe, Michael</dc:creator>
  <cp:lastModifiedBy>Timpe, Michael</cp:lastModifiedBy>
  <dcterms:created xsi:type="dcterms:W3CDTF">2018-03-09T08:02:20Z</dcterms:created>
  <dcterms:modified xsi:type="dcterms:W3CDTF">2018-03-09T14:34:25Z</dcterms:modified>
</cp:coreProperties>
</file>