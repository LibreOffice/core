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E56461B5-4F97-44CF-962E-DEF8916C50B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MYRANGE">Sheet1!$F$26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19" i="1" l="1"/>
  <c r="D119" i="1"/>
  <c r="D118" i="1"/>
  <c r="D117" i="1"/>
  <c r="D116" i="1"/>
  <c r="O111" i="1"/>
  <c r="D123" i="1"/>
  <c r="D122" i="1"/>
  <c r="D121" i="1"/>
  <c r="D120" i="1"/>
  <c r="D124" i="1"/>
  <c r="N111" i="1"/>
  <c r="D115" i="1"/>
  <c r="D114" i="1"/>
  <c r="D113" i="1"/>
  <c r="D112" i="1"/>
  <c r="J111" i="1"/>
  <c r="I111" i="1"/>
  <c r="M111" i="1"/>
  <c r="L111" i="1"/>
  <c r="K111" i="1"/>
  <c r="D132" i="1"/>
  <c r="D133" i="1"/>
  <c r="D134" i="1"/>
  <c r="D131" i="1"/>
  <c r="D130" i="1"/>
  <c r="D129" i="1"/>
  <c r="D128" i="1"/>
  <c r="D127" i="1"/>
  <c r="I112" i="1" a="1"/>
  <c r="I112" i="1"/>
  <c r="D110" i="1"/>
  <c r="F110" i="1" a="1"/>
  <c r="A111" i="1" s="1"/>
  <c r="C111" i="1" s="1"/>
  <c r="F110" i="1"/>
  <c r="A110" i="1" s="1"/>
  <c r="C110" i="1" s="1"/>
  <c r="D109" i="1"/>
  <c r="F109" i="1"/>
  <c r="A109" i="1" s="1"/>
  <c r="C109" i="1" s="1"/>
  <c r="D108" i="1"/>
  <c r="F108" i="1"/>
  <c r="A108" i="1" s="1"/>
  <c r="C108" i="1" s="1"/>
  <c r="D107" i="1"/>
  <c r="F107" i="1"/>
  <c r="A107" i="1" s="1"/>
  <c r="C107" i="1" s="1"/>
  <c r="D106" i="1"/>
  <c r="D105" i="1"/>
  <c r="F106" i="1"/>
  <c r="A106" i="1" s="1"/>
  <c r="C106" i="1" s="1"/>
  <c r="F105" i="1"/>
  <c r="A105" i="1" s="1"/>
  <c r="C105" i="1" s="1"/>
  <c r="D104" i="1"/>
  <c r="F104" i="1"/>
  <c r="A104" i="1" s="1"/>
  <c r="C104" i="1" s="1"/>
  <c r="D103" i="1"/>
  <c r="F103" i="1"/>
  <c r="A103" i="1" s="1"/>
  <c r="C103" i="1" s="1"/>
  <c r="D101" i="1"/>
  <c r="D100" i="1"/>
  <c r="D102" i="1"/>
  <c r="F102" i="1"/>
  <c r="A102" i="1" s="1"/>
  <c r="C102" i="1" s="1"/>
  <c r="F101" i="1"/>
  <c r="A101" i="1" s="1"/>
  <c r="C101" i="1" s="1"/>
  <c r="F100" i="1"/>
  <c r="A100" i="1" s="1"/>
  <c r="C100" i="1" s="1"/>
  <c r="D99" i="1"/>
  <c r="D98" i="1"/>
  <c r="D97" i="1"/>
  <c r="D96" i="1"/>
  <c r="F99" i="1"/>
  <c r="A99" i="1" s="1"/>
  <c r="C99" i="1" s="1"/>
  <c r="F98" i="1"/>
  <c r="A98" i="1" s="1"/>
  <c r="C98" i="1" s="1"/>
  <c r="F97" i="1"/>
  <c r="A97" i="1" s="1"/>
  <c r="C97" i="1" s="1"/>
  <c r="F96" i="1"/>
  <c r="A96" i="1" s="1"/>
  <c r="C96" i="1" s="1"/>
  <c r="A95" i="1"/>
  <c r="C95" i="1" s="1"/>
  <c r="D94" i="1"/>
  <c r="F94" i="1"/>
  <c r="A94" i="1" s="1"/>
  <c r="C94" i="1" s="1"/>
  <c r="D93" i="1"/>
  <c r="D92" i="1"/>
  <c r="F93" i="1"/>
  <c r="A93" i="1" s="1"/>
  <c r="C93" i="1" s="1"/>
  <c r="F92" i="1"/>
  <c r="A92" i="1" s="1"/>
  <c r="C92" i="1" s="1"/>
  <c r="D91" i="1"/>
  <c r="F91" i="1" a="1"/>
  <c r="F91" i="1"/>
  <c r="D90" i="1"/>
  <c r="F90" i="1"/>
  <c r="A90" i="1" s="1"/>
  <c r="C90" i="1" s="1"/>
  <c r="D89" i="1"/>
  <c r="F89" i="1"/>
  <c r="A89" i="1" s="1"/>
  <c r="C89" i="1" s="1"/>
  <c r="D88" i="1"/>
  <c r="F88" i="1"/>
  <c r="A88" i="1" s="1"/>
  <c r="C88" i="1" s="1"/>
  <c r="D87" i="1"/>
  <c r="D86" i="1"/>
  <c r="F87" i="1" a="1"/>
  <c r="F87" i="1"/>
  <c r="A87" i="1" s="1"/>
  <c r="C87" i="1" s="1"/>
  <c r="F86" i="1" a="1"/>
  <c r="F86" i="1"/>
  <c r="A86" i="1" s="1"/>
  <c r="C86" i="1" s="1"/>
  <c r="D85" i="1"/>
  <c r="F85" i="1"/>
  <c r="A85" i="1" s="1"/>
  <c r="C85" i="1" s="1"/>
  <c r="D84" i="1"/>
  <c r="D83" i="1"/>
  <c r="F84" i="1"/>
  <c r="A84" i="1" s="1"/>
  <c r="C84" i="1" s="1"/>
  <c r="F83" i="1"/>
  <c r="A83" i="1" s="1"/>
  <c r="C83" i="1" s="1"/>
  <c r="D82" i="1"/>
  <c r="F82" i="1"/>
  <c r="A82" i="1" s="1"/>
  <c r="C82" i="1" s="1"/>
  <c r="D81" i="1"/>
  <c r="F81" i="1"/>
  <c r="A81" i="1" s="1"/>
  <c r="C81" i="1" s="1"/>
  <c r="D80" i="1"/>
  <c r="F80" i="1"/>
  <c r="A80" i="1" s="1"/>
  <c r="C80" i="1" s="1"/>
  <c r="A79" i="1"/>
  <c r="C79" i="1" s="1"/>
  <c r="D78" i="1"/>
  <c r="F78" i="1"/>
  <c r="A78" i="1" s="1"/>
  <c r="C78" i="1" s="1"/>
  <c r="D77" i="1"/>
  <c r="F77" i="1"/>
  <c r="A77" i="1" s="1"/>
  <c r="C77" i="1" s="1"/>
  <c r="D75" i="1"/>
  <c r="A76" i="1"/>
  <c r="C76" i="1" s="1"/>
  <c r="F75" i="1"/>
  <c r="A75" i="1" s="1"/>
  <c r="C75" i="1" s="1"/>
  <c r="A74" i="1"/>
  <c r="C74" i="1" s="1"/>
  <c r="A73" i="1"/>
  <c r="C73" i="1" s="1"/>
  <c r="A72" i="1"/>
  <c r="C72" i="1" s="1"/>
  <c r="D71" i="1"/>
  <c r="C71" i="1"/>
  <c r="F71" i="1"/>
  <c r="D69" i="1"/>
  <c r="F69" i="1"/>
  <c r="A69" i="1" s="1"/>
  <c r="D70" i="1"/>
  <c r="F70" i="1"/>
  <c r="A70" i="1" s="1"/>
  <c r="C70" i="1" s="1"/>
  <c r="C69" i="1"/>
  <c r="D68" i="1"/>
  <c r="F68" i="1"/>
  <c r="A68" i="1" s="1"/>
  <c r="C68" i="1" s="1"/>
  <c r="D67" i="1"/>
  <c r="F67" i="1"/>
  <c r="A67" i="1" s="1"/>
  <c r="C67" i="1" s="1"/>
  <c r="A66" i="1"/>
  <c r="C66" i="1" s="1"/>
  <c r="A65" i="1"/>
  <c r="C65" i="1" s="1"/>
  <c r="D64" i="1"/>
  <c r="A63" i="1"/>
  <c r="C63" i="1" s="1"/>
  <c r="A62" i="1"/>
  <c r="C62" i="1"/>
  <c r="D61" i="1"/>
  <c r="N61" i="1"/>
  <c r="A61" i="1" s="1"/>
  <c r="C61" i="1" s="1"/>
  <c r="D60" i="1"/>
  <c r="N60" i="1"/>
  <c r="A60" i="1" s="1"/>
  <c r="C60" i="1" s="1"/>
  <c r="D59" i="1"/>
  <c r="D58" i="1"/>
  <c r="L58" i="1" a="1"/>
  <c r="L58" i="1"/>
  <c r="F58" i="1" a="1"/>
  <c r="F58" i="1"/>
  <c r="D55" i="1"/>
  <c r="D52" i="1"/>
  <c r="D51" i="1"/>
  <c r="D50" i="1"/>
  <c r="D49" i="1"/>
  <c r="D48" i="1"/>
  <c r="D47" i="1"/>
  <c r="D46" i="1"/>
  <c r="D45" i="1"/>
  <c r="D43" i="1"/>
  <c r="D41" i="1"/>
  <c r="D31" i="1"/>
  <c r="F31" i="1" a="1"/>
  <c r="F31" i="1"/>
  <c r="D30" i="1"/>
  <c r="D27" i="1"/>
  <c r="D26" i="1"/>
  <c r="D25" i="1"/>
  <c r="A29" i="1"/>
  <c r="C29" i="1" s="1"/>
  <c r="A28" i="1"/>
  <c r="C28" i="1" s="1"/>
  <c r="J30" i="1" a="1"/>
  <c r="J30" i="1"/>
  <c r="A30" i="1" s="1"/>
  <c r="C30" i="1" s="1"/>
  <c r="G27" i="1"/>
  <c r="A27" i="1" s="1"/>
  <c r="C27" i="1" s="1"/>
  <c r="G26" i="1"/>
  <c r="A26" i="1" s="1"/>
  <c r="C26" i="1" s="1"/>
  <c r="G25" i="1"/>
  <c r="A25" i="1" s="1"/>
  <c r="C25" i="1" s="1"/>
  <c r="D22" i="1"/>
  <c r="D21" i="1"/>
  <c r="D20" i="1"/>
  <c r="D19" i="1"/>
  <c r="D18" i="1"/>
  <c r="D17" i="1"/>
  <c r="D16" i="1"/>
  <c r="D15" i="1"/>
  <c r="D14" i="1"/>
  <c r="D13" i="1"/>
  <c r="D10" i="1"/>
  <c r="D9" i="1"/>
  <c r="D7" i="1"/>
  <c r="D6" i="1"/>
  <c r="D5" i="1"/>
  <c r="A8" i="1"/>
  <c r="C8" i="1"/>
  <c r="H5" i="1"/>
  <c r="A5" i="1" s="1"/>
  <c r="C5" i="1" s="1"/>
  <c r="T6" i="1"/>
  <c r="A20" i="1" s="1"/>
  <c r="C20" i="1" s="1"/>
  <c r="S6" i="1" a="1"/>
  <c r="S6" i="1"/>
  <c r="A19" i="1" s="1"/>
  <c r="C19" i="1" s="1"/>
  <c r="P6" i="1" a="1"/>
  <c r="P6" i="1"/>
  <c r="A17" i="1" s="1"/>
  <c r="C17" i="1" s="1"/>
  <c r="F5" i="1" a="1"/>
  <c r="F5" i="1"/>
  <c r="F64" i="1" s="1"/>
  <c r="A64" i="1" s="1"/>
  <c r="C64" i="1" s="1"/>
  <c r="O115" i="1" l="1"/>
  <c r="C119" i="1" s="1"/>
  <c r="O114" i="1"/>
  <c r="A118" i="1" s="1"/>
  <c r="C118" i="1" s="1"/>
  <c r="O113" i="1"/>
  <c r="A117" i="1" s="1"/>
  <c r="C117" i="1" s="1"/>
  <c r="O112" i="1"/>
  <c r="A116" i="1" s="1"/>
  <c r="C116" i="1" s="1"/>
  <c r="N115" i="1"/>
  <c r="A123" i="1" s="1"/>
  <c r="C123" i="1" s="1"/>
  <c r="N114" i="1"/>
  <c r="A122" i="1" s="1"/>
  <c r="C122" i="1" s="1"/>
  <c r="N113" i="1"/>
  <c r="A121" i="1" s="1"/>
  <c r="C121" i="1" s="1"/>
  <c r="N112" i="1"/>
  <c r="A120" i="1" s="1"/>
  <c r="C120" i="1" s="1"/>
  <c r="J115" i="1"/>
  <c r="A115" i="1" s="1"/>
  <c r="C115" i="1" s="1"/>
  <c r="J114" i="1"/>
  <c r="A114" i="1" s="1"/>
  <c r="C114" i="1" s="1"/>
  <c r="J112" i="1"/>
  <c r="A112" i="1" s="1"/>
  <c r="C112" i="1" s="1"/>
  <c r="J113" i="1"/>
  <c r="A113" i="1" s="1"/>
  <c r="C113" i="1" s="1"/>
  <c r="M112" i="1" a="1"/>
  <c r="A126" i="1" s="1"/>
  <c r="C126" i="1" s="1"/>
  <c r="L115" i="1" a="1"/>
  <c r="L115" i="1" s="1"/>
  <c r="A134" i="1" s="1"/>
  <c r="C134" i="1" s="1"/>
  <c r="L114" i="1" a="1"/>
  <c r="L114" i="1" s="1"/>
  <c r="A133" i="1" s="1"/>
  <c r="C133" i="1" s="1"/>
  <c r="L113" i="1" a="1"/>
  <c r="L113" i="1" s="1"/>
  <c r="A132" i="1" s="1"/>
  <c r="C132" i="1" s="1"/>
  <c r="L112" i="1" a="1"/>
  <c r="L112" i="1" s="1"/>
  <c r="A131" i="1" s="1"/>
  <c r="C131" i="1" s="1"/>
  <c r="K112" i="1" a="1"/>
  <c r="K112" i="1" s="1"/>
  <c r="K115" i="1" a="1"/>
  <c r="K115" i="1" s="1"/>
  <c r="A130" i="1" s="1"/>
  <c r="C130" i="1" s="1"/>
  <c r="A127" i="1"/>
  <c r="C127" i="1" s="1"/>
  <c r="K114" i="1" a="1"/>
  <c r="K114" i="1" s="1"/>
  <c r="A129" i="1" s="1"/>
  <c r="C129" i="1" s="1"/>
  <c r="K113" i="1" a="1"/>
  <c r="K113" i="1" s="1"/>
  <c r="A128" i="1" s="1"/>
  <c r="C128" i="1" s="1"/>
  <c r="A91" i="1"/>
  <c r="C91" i="1" s="1"/>
  <c r="O59" i="1" a="1"/>
  <c r="O59" i="1" s="1"/>
  <c r="A59" i="1" s="1"/>
  <c r="C59" i="1" s="1"/>
  <c r="N59" i="1"/>
  <c r="A58" i="1" s="1"/>
  <c r="C58" i="1" s="1"/>
  <c r="A55" i="1" a="1"/>
  <c r="A52" i="1" a="1"/>
  <c r="A51" i="1" a="1"/>
  <c r="A51" i="1" s="1"/>
  <c r="C51" i="1" s="1"/>
  <c r="A50" i="1" a="1"/>
  <c r="A50" i="1" s="1"/>
  <c r="C50" i="1" s="1"/>
  <c r="A49" i="1" a="1"/>
  <c r="A49" i="1" s="1"/>
  <c r="C49" i="1" s="1"/>
  <c r="A48" i="1"/>
  <c r="C48" i="1" s="1"/>
  <c r="A47" i="1"/>
  <c r="C47" i="1" s="1"/>
  <c r="A46" i="1"/>
  <c r="C46" i="1" s="1"/>
  <c r="A45" i="1"/>
  <c r="C45" i="1" s="1"/>
  <c r="F43" i="1" a="1"/>
  <c r="F41" i="1" a="1"/>
  <c r="F40" i="1"/>
  <c r="A40" i="1" s="1"/>
  <c r="C40" i="1" s="1"/>
  <c r="J31" i="1" a="1"/>
  <c r="J31" i="1" s="1"/>
  <c r="A31" i="1" s="1"/>
  <c r="C31" i="1" s="1"/>
  <c r="A38" i="1"/>
  <c r="C38" i="1" s="1"/>
  <c r="A39" i="1"/>
  <c r="C39" i="1" s="1"/>
  <c r="A36" i="1"/>
  <c r="C36" i="1" s="1"/>
  <c r="A37" i="1"/>
  <c r="C37" i="1" s="1"/>
  <c r="A34" i="1"/>
  <c r="C34" i="1" s="1"/>
  <c r="A35" i="1"/>
  <c r="C35" i="1" s="1"/>
  <c r="A32" i="1"/>
  <c r="C32" i="1" s="1"/>
  <c r="A33" i="1"/>
  <c r="C33" i="1" s="1"/>
  <c r="A22" i="1" a="1"/>
  <c r="J6" i="1"/>
  <c r="A9" i="1" s="1"/>
  <c r="C9" i="1" s="1"/>
  <c r="H6" i="1"/>
  <c r="A6" i="1" s="1"/>
  <c r="C6" i="1" s="1"/>
  <c r="H7" i="1"/>
  <c r="A7" i="1" s="1"/>
  <c r="C7" i="1" s="1"/>
  <c r="U6" i="1"/>
  <c r="A21" i="1" s="1"/>
  <c r="C21" i="1" s="1"/>
  <c r="M6" i="1" a="1"/>
  <c r="M6" i="1" s="1"/>
  <c r="A14" i="1" s="1"/>
  <c r="C14" i="1" s="1"/>
  <c r="R6" i="1" a="1"/>
  <c r="R6" i="1" s="1"/>
  <c r="A18" i="1" s="1"/>
  <c r="C18" i="1" s="1"/>
  <c r="O6" i="1"/>
  <c r="A16" i="1" s="1"/>
  <c r="C16" i="1" s="1"/>
  <c r="N6" i="1"/>
  <c r="A15" i="1" s="1"/>
  <c r="C15" i="1" s="1"/>
  <c r="L6" i="1"/>
  <c r="A13" i="1" s="1"/>
  <c r="C13" i="1" s="1"/>
  <c r="K6" i="1" a="1"/>
  <c r="A125" i="1" l="1"/>
  <c r="C125" i="1" s="1"/>
  <c r="M112" i="1"/>
  <c r="A124" i="1" s="1"/>
  <c r="C124" i="1" s="1"/>
  <c r="C54" i="1"/>
  <c r="C53" i="1"/>
  <c r="A52" i="1"/>
  <c r="C52" i="1" s="1"/>
  <c r="C57" i="1"/>
  <c r="C56" i="1"/>
  <c r="A55" i="1"/>
  <c r="C55" i="1" s="1"/>
  <c r="A42" i="1"/>
  <c r="C42" i="1" s="1"/>
  <c r="F41" i="1"/>
  <c r="A41" i="1" s="1"/>
  <c r="C41" i="1" s="1"/>
  <c r="A44" i="1"/>
  <c r="C44" i="1" s="1"/>
  <c r="F43" i="1"/>
  <c r="A43" i="1" s="1"/>
  <c r="C43" i="1" s="1"/>
  <c r="A22" i="1"/>
  <c r="C22" i="1" s="1"/>
  <c r="C24" i="1"/>
  <c r="C23" i="1"/>
  <c r="K6" i="1"/>
  <c r="A10" i="1" s="1"/>
  <c r="C10" i="1" s="1"/>
  <c r="A12" i="1"/>
  <c r="C12" i="1" s="1"/>
  <c r="A11" i="1"/>
  <c r="C11" i="1" s="1"/>
  <c r="A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<sst xmlns="http://schemas.openxmlformats.org/spreadsheetml/2006/main" count="42" uniqueCount="26">
  <si>
    <t>UNION, #, @ COMBINATIONS</t>
  </si>
  <si>
    <t>TOTAL</t>
  </si>
  <si>
    <t>FUNCTION</t>
  </si>
  <si>
    <t>EXPECTED</t>
  </si>
  <si>
    <t>CORRECT</t>
  </si>
  <si>
    <t>FORMULA</t>
  </si>
  <si>
    <t>COMMENT</t>
  </si>
  <si>
    <t>Data</t>
  </si>
  <si>
    <t>=F5%#</t>
  </si>
  <si>
    <t>Doesn't compile</t>
  </si>
  <si>
    <t>Expecting #VALUE!</t>
  </si>
  <si>
    <t>=(F25%,F26%)</t>
  </si>
  <si>
    <t>=SUM((F25%,F26%))</t>
  </si>
  <si>
    <t>=SEQUENCE(2)#</t>
  </si>
  <si>
    <t>=(1,2)</t>
  </si>
  <si>
    <t>=(F25+0) F26</t>
  </si>
  <si>
    <t>=(F25%, F26)</t>
  </si>
  <si>
    <t>=(F25, -F26)</t>
  </si>
  <si>
    <t>=(F25, 5)</t>
  </si>
  <si>
    <t>=(F25, "x")</t>
  </si>
  <si>
    <t>=(F25, SUM(F25:F26))</t>
  </si>
  <si>
    <t>=AREAS((F25, F26%))</t>
  </si>
  <si>
    <t>x</t>
  </si>
  <si>
    <t>Expecting #NAME?</t>
  </si>
  <si>
    <t>Expecting #NULL!</t>
  </si>
  <si>
    <t>=(F25, F26%, F27)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</si>
</sst>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4"/>
  <sheetViews>
    <sheetView tabSelected="1" topLeftCell="A106" workbookViewId="0">
      <selection activeCell="C134" sqref="C134"/>
    </sheetView>
  </sheetViews>
  <sheetFormatPr defaultRowHeight="15"/>
  <cols>
    <col min="1" max="1" width="12.7109375" customWidth="1"/>
    <col min="2" max="2" width="10.140625" bestFit="1" customWidth="1"/>
    <col min="3" max="3" width="9.42578125" bestFit="1" customWidth="1"/>
    <col min="4" max="4" width="43.140625" bestFit="1" customWidth="1"/>
    <col min="5" max="5" width="17.85546875" bestFit="1" customWidth="1"/>
    <col min="6" max="6" width="20.28515625" bestFit="1" customWidth="1"/>
    <col min="8" max="8" width="19.140625" bestFit="1" customWidth="1"/>
    <col min="9" max="9" width="12" bestFit="1" customWidth="1"/>
    <col min="10" max="10" width="11.140625" bestFit="1" customWidth="1"/>
    <col min="11" max="11" width="14.7109375" bestFit="1" customWidth="1"/>
    <col min="12" max="12" width="20.85546875" bestFit="1" customWidth="1"/>
    <col min="14" max="14" width="12.42578125" bestFit="1" customWidth="1"/>
    <col min="15" max="15" width="9" bestFit="1" customWidth="1"/>
  </cols>
  <sheetData>
    <row r="1" spans="1:21">
      <c r="A1" s="2" t="s">
        <v>0</v>
      </c>
      <c r="B1" s="2"/>
      <c r="C1" s="2"/>
      <c r="D1" s="2"/>
    </row>
    <row r="2" spans="1:21">
      <c r="A2" s="1" t="s">
        <v>1</v>
      </c>
    </row>
    <row r="3" spans="1:21">
      <c r="A3" t="b">
        <f ca="1">AND(C5:C216)</f>
        <v>1</v>
      </c>
    </row>
    <row r="4" spans="1:2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21">
      <c r="A5">
        <f>ERROR.TYPE(H5)</f>
        <v>4</v>
      </c>
      <c r="B5">
        <v>4</v>
      </c>
      <c r="C5" t="b">
        <f>A5=B5</f>
        <v>1</v>
      </c>
      <c r="D5" t="str">
        <f ca="1">_xlfn.FORMULATEXT(H5)</f>
        <v>=@F4#</v>
      </c>
      <c r="F5" cm="1">
        <f t="array" ref="F5:F7">_xlfn.SEQUENCE(3)</f>
        <v>1</v>
      </c>
      <c r="H5" t="e">
        <f>_xlfn.ANCHORARRAY(F4)</f>
        <v>#REF!</v>
      </c>
    </row>
    <row r="6" spans="1:21">
      <c r="A6">
        <f>H6</f>
        <v>2</v>
      </c>
      <c r="B6">
        <v>2</v>
      </c>
      <c r="C6" t="b">
        <f t="shared" ref="C6:C61" si="0">A6=B6</f>
        <v>1</v>
      </c>
      <c r="D6" t="str">
        <f ca="1">_xlfn.FORMULATEXT(H6)</f>
        <v>=@F5#</v>
      </c>
      <c r="F6">
        <v>2</v>
      </c>
      <c r="H6">
        <f>_xlfn.ANCHORARRAY(F5)</f>
        <v>2</v>
      </c>
      <c r="I6" t="s">
        <v>8</v>
      </c>
      <c r="J6">
        <f>_xlfn.ANCHORARRAY(F5)%</f>
        <v>0.02</v>
      </c>
      <c r="K6" cm="1">
        <f t="array" ref="K6:K8">_xlfn.ANCHORARRAY((F5))</f>
        <v>1</v>
      </c>
      <c r="L6">
        <f>F5:F7+1</f>
        <v>3</v>
      </c>
      <c r="M6" cm="1">
        <f t="array" ref="M6">_xlfn.SINGLE(-F5:F7)</f>
        <v>-1</v>
      </c>
      <c r="N6">
        <f>-F5:F7</f>
        <v>-2</v>
      </c>
      <c r="O6">
        <f>_xlfn.SINGLE(SUM(_xlfn.ANCHORARRAY(F5)))</f>
        <v>6</v>
      </c>
      <c r="P6" t="e" cm="1">
        <f t="array" ref="P6">_xlfn.ANCHORARRAY(F5:F7)</f>
        <v>#REF!</v>
      </c>
      <c r="R6" t="e" cm="1">
        <f t="array" aca="1" ref="R6" ca="1">F5:_xlfn.ANCHORARRAY(INDEX(F5:F14, 3))</f>
        <v>#REF!</v>
      </c>
      <c r="S6" t="e" cm="1">
        <f t="array" ref="S6">_xlfn.ANCHORARRAY((F5,H5))</f>
        <v>#REF!</v>
      </c>
      <c r="T6" t="e">
        <f>_xlfn.SINGLE((F5,H5))</f>
        <v>#VALUE!</v>
      </c>
      <c r="U6" t="e">
        <f>SUM((F5,H5))</f>
        <v>#REF!</v>
      </c>
    </row>
    <row r="7" spans="1:21">
      <c r="A7">
        <f>ERROR.TYPE(H7)</f>
        <v>4</v>
      </c>
      <c r="B7">
        <v>4</v>
      </c>
      <c r="C7" t="b">
        <f t="shared" si="0"/>
        <v>1</v>
      </c>
      <c r="D7" t="str">
        <f ca="1">_xlfn.FORMULATEXT(H7)</f>
        <v>=@F6#</v>
      </c>
      <c r="F7">
        <v>3</v>
      </c>
      <c r="H7" t="e">
        <f>_xlfn.ANCHORARRAY(F6)</f>
        <v>#REF!</v>
      </c>
      <c r="K7">
        <v>2</v>
      </c>
    </row>
    <row r="8" spans="1:21">
      <c r="A8" t="b">
        <f>ISTEXT(I6)</f>
        <v>1</v>
      </c>
      <c r="B8" t="b">
        <v>1</v>
      </c>
      <c r="C8" t="b">
        <f t="shared" si="0"/>
        <v>1</v>
      </c>
      <c r="E8" t="s">
        <v>9</v>
      </c>
      <c r="K8">
        <v>3</v>
      </c>
    </row>
    <row r="9" spans="1:21">
      <c r="A9">
        <f>J6</f>
        <v>0.02</v>
      </c>
      <c r="B9">
        <v>0.02</v>
      </c>
      <c r="C9" t="b">
        <f t="shared" si="0"/>
        <v>1</v>
      </c>
      <c r="D9" t="str">
        <f ca="1">_xlfn.FORMULATEXT(J6)</f>
        <v>=@F5#%</v>
      </c>
    </row>
    <row r="10" spans="1:21">
      <c r="A10">
        <f>K6</f>
        <v>1</v>
      </c>
      <c r="B10">
        <v>1</v>
      </c>
      <c r="C10" t="b">
        <f t="shared" si="0"/>
        <v>1</v>
      </c>
      <c r="D10" t="str">
        <f ca="1">_xlfn.FORMULATEXT(K6)</f>
        <v>=(F5)#</v>
      </c>
    </row>
    <row r="11" spans="1:21">
      <c r="A11">
        <f>K7</f>
        <v>2</v>
      </c>
      <c r="B11">
        <v>2</v>
      </c>
      <c r="C11" t="b">
        <f t="shared" si="0"/>
        <v>1</v>
      </c>
    </row>
    <row r="12" spans="1:21">
      <c r="A12">
        <f>K8</f>
        <v>3</v>
      </c>
      <c r="B12">
        <v>3</v>
      </c>
      <c r="C12" t="b">
        <f t="shared" si="0"/>
        <v>1</v>
      </c>
    </row>
    <row r="13" spans="1:21">
      <c r="A13">
        <f>L6</f>
        <v>3</v>
      </c>
      <c r="B13">
        <v>3</v>
      </c>
      <c r="C13" t="b">
        <f t="shared" si="0"/>
        <v>1</v>
      </c>
      <c r="D13" t="str">
        <f ca="1">_xlfn.FORMULATEXT(L6)</f>
        <v>=@F5:F7+1</v>
      </c>
    </row>
    <row r="14" spans="1:21">
      <c r="A14">
        <f>M6</f>
        <v>-1</v>
      </c>
      <c r="B14">
        <v>-1</v>
      </c>
      <c r="C14" t="b">
        <f t="shared" si="0"/>
        <v>1</v>
      </c>
      <c r="D14" t="str">
        <f ca="1">_xlfn.FORMULATEXT(M6)</f>
        <v>=@-F5:F7</v>
      </c>
    </row>
    <row r="15" spans="1:21">
      <c r="A15">
        <f>N6</f>
        <v>-2</v>
      </c>
      <c r="B15">
        <v>-2</v>
      </c>
      <c r="C15" t="b">
        <f t="shared" si="0"/>
        <v>1</v>
      </c>
      <c r="D15" t="str">
        <f ca="1">_xlfn.FORMULATEXT(N6)</f>
        <v>=-@F5:F7</v>
      </c>
    </row>
    <row r="16" spans="1:21">
      <c r="A16">
        <f>O6</f>
        <v>6</v>
      </c>
      <c r="B16">
        <v>6</v>
      </c>
      <c r="C16" t="b">
        <f t="shared" si="0"/>
        <v>1</v>
      </c>
      <c r="D16" t="str">
        <f ca="1">_xlfn.FORMULATEXT(O6)</f>
        <v>=@SUM(F5#)</v>
      </c>
    </row>
    <row r="17" spans="1:12">
      <c r="A17">
        <f>ERROR.TYPE(P6)</f>
        <v>4</v>
      </c>
      <c r="B17">
        <v>4</v>
      </c>
      <c r="C17" t="b">
        <f t="shared" si="0"/>
        <v>1</v>
      </c>
      <c r="D17" t="str">
        <f ca="1">_xlfn.FORMULATEXT(P6)</f>
        <v>=F5:F7#</v>
      </c>
    </row>
    <row r="18" spans="1:12">
      <c r="A18">
        <f ca="1">ERROR.TYPE(R6)</f>
        <v>4</v>
      </c>
      <c r="B18">
        <v>4</v>
      </c>
      <c r="C18" t="b">
        <f t="shared" ca="1" si="0"/>
        <v>1</v>
      </c>
      <c r="D18" t="str">
        <f ca="1">_xlfn.FORMULATEXT(R6)</f>
        <v>=F5:INDEX(F5:F14, 3)#</v>
      </c>
    </row>
    <row r="19" spans="1:12">
      <c r="A19">
        <f>ERROR.TYPE(S6)</f>
        <v>4</v>
      </c>
      <c r="B19">
        <v>4</v>
      </c>
      <c r="C19" t="b">
        <f t="shared" si="0"/>
        <v>1</v>
      </c>
      <c r="D19" t="str">
        <f ca="1">_xlfn.FORMULATEXT(S6)</f>
        <v>=(F5,H5)#</v>
      </c>
    </row>
    <row r="20" spans="1:12">
      <c r="A20">
        <f>ERROR.TYPE(T6)</f>
        <v>3</v>
      </c>
      <c r="B20">
        <v>3</v>
      </c>
      <c r="C20" t="b">
        <f t="shared" si="0"/>
        <v>1</v>
      </c>
      <c r="D20" t="str">
        <f ca="1">_xlfn.FORMULATEXT(T6)</f>
        <v>=@(F5,H5)</v>
      </c>
    </row>
    <row r="21" spans="1:12">
      <c r="A21">
        <f>ERROR.TYPE(U6)</f>
        <v>4</v>
      </c>
      <c r="B21">
        <v>4</v>
      </c>
      <c r="C21" t="b">
        <f t="shared" si="0"/>
        <v>1</v>
      </c>
      <c r="D21" t="str">
        <f ca="1">_xlfn.FORMULATEXT(U6)</f>
        <v>=SUM((F5,H5))</v>
      </c>
    </row>
    <row r="22" spans="1:12">
      <c r="A22" cm="1">
        <f t="array" ref="A22:A24">-_xlfn.ANCHORARRAY(F5)</f>
        <v>-1</v>
      </c>
      <c r="B22">
        <v>-1</v>
      </c>
      <c r="C22" t="b">
        <f t="shared" si="0"/>
        <v>1</v>
      </c>
      <c r="D22" t="str">
        <f ca="1">_xlfn.FORMULATEXT(A22)</f>
        <v>=-F5#</v>
      </c>
    </row>
    <row r="23" spans="1:12">
      <c r="A23">
        <v>-2</v>
      </c>
      <c r="B23">
        <v>-2</v>
      </c>
      <c r="C23" t="b">
        <f t="shared" si="0"/>
        <v>1</v>
      </c>
    </row>
    <row r="24" spans="1:12">
      <c r="A24">
        <v>-3</v>
      </c>
      <c r="B24">
        <v>-3</v>
      </c>
      <c r="C24" t="b">
        <f t="shared" si="0"/>
        <v>1</v>
      </c>
    </row>
    <row r="25" spans="1:12">
      <c r="A25">
        <f>ERROR.TYPE(G25)</f>
        <v>3</v>
      </c>
      <c r="B25">
        <v>3</v>
      </c>
      <c r="C25" t="b">
        <f t="shared" si="0"/>
        <v>1</v>
      </c>
      <c r="D25" t="str">
        <f ca="1">_xlfn.FORMULATEXT(G25)</f>
        <v>=(F25,F26)%</v>
      </c>
      <c r="E25" t="s">
        <v>10</v>
      </c>
      <c r="F25">
        <v>100</v>
      </c>
      <c r="G25" t="e">
        <f>(F25,F26)%</f>
        <v>#VALUE!</v>
      </c>
    </row>
    <row r="26" spans="1:12">
      <c r="A26">
        <f>ERROR.TYPE(G26)</f>
        <v>3</v>
      </c>
      <c r="B26">
        <v>3</v>
      </c>
      <c r="C26" t="b">
        <f t="shared" si="0"/>
        <v>1</v>
      </c>
      <c r="D26" t="str">
        <f ca="1">_xlfn.FORMULATEXT(G26)</f>
        <v>=(F25, F26%)</v>
      </c>
      <c r="E26" t="s">
        <v>10</v>
      </c>
      <c r="F26">
        <v>200</v>
      </c>
      <c r="G26" t="e">
        <f>(F25, F26%)</f>
        <v>#VALUE!</v>
      </c>
    </row>
    <row r="27" spans="1:12">
      <c r="A27">
        <f>ERROR.TYPE(G27)</f>
        <v>3</v>
      </c>
      <c r="B27">
        <v>3</v>
      </c>
      <c r="C27" t="b">
        <f t="shared" si="0"/>
        <v>1</v>
      </c>
      <c r="D27" t="str">
        <f ca="1">_xlfn.FORMULATEXT(G27)</f>
        <v>=SUM((F25,F26)%)</v>
      </c>
      <c r="E27" t="s">
        <v>10</v>
      </c>
      <c r="F27">
        <v>150</v>
      </c>
      <c r="G27" t="e">
        <f>SUM((F25,F26)%)</f>
        <v>#VALUE!</v>
      </c>
    </row>
    <row r="28" spans="1:12">
      <c r="A28" t="b">
        <f>ISTEXT(F28)</f>
        <v>1</v>
      </c>
      <c r="B28" t="b">
        <v>1</v>
      </c>
      <c r="C28" t="b">
        <f t="shared" si="0"/>
        <v>1</v>
      </c>
      <c r="E28" t="s">
        <v>9</v>
      </c>
      <c r="F28" t="s">
        <v>11</v>
      </c>
    </row>
    <row r="29" spans="1:12">
      <c r="A29" t="b">
        <f>ISTEXT(F29)</f>
        <v>1</v>
      </c>
      <c r="B29" t="b">
        <v>1</v>
      </c>
      <c r="C29" t="b">
        <f t="shared" si="0"/>
        <v>1</v>
      </c>
      <c r="E29" t="s">
        <v>9</v>
      </c>
      <c r="F29" t="s">
        <v>12</v>
      </c>
    </row>
    <row r="30" spans="1:12">
      <c r="A30">
        <f>ERROR.TYPE(J30)</f>
        <v>4</v>
      </c>
      <c r="B30">
        <v>4</v>
      </c>
      <c r="C30" t="b">
        <f t="shared" si="0"/>
        <v>1</v>
      </c>
      <c r="D30" t="str">
        <f ca="1">_xlfn.FORMULATEXT(J30)</f>
        <v>=F30:H30#</v>
      </c>
      <c r="F30">
        <v>1</v>
      </c>
      <c r="G30">
        <v>2</v>
      </c>
      <c r="H30">
        <v>3</v>
      </c>
      <c r="J30" t="e" cm="1">
        <f t="array" ref="J30">_xlfn.ANCHORARRAY(F30:H30)</f>
        <v>#REF!</v>
      </c>
    </row>
    <row r="31" spans="1:12">
      <c r="A31">
        <f ca="1">J31</f>
        <v>1</v>
      </c>
      <c r="B31">
        <v>1</v>
      </c>
      <c r="C31" t="b">
        <f t="shared" ca="1" si="0"/>
        <v>1</v>
      </c>
      <c r="D31" t="str">
        <f ca="1">_xlfn.FORMULATEXT(J31)</f>
        <v>=F31#:H31</v>
      </c>
      <c r="F31" cm="1">
        <f t="array" ref="F31:F33">_xlfn.SEQUENCE(3)</f>
        <v>1</v>
      </c>
      <c r="H31">
        <v>5</v>
      </c>
      <c r="J31" cm="1">
        <f t="array" aca="1" ref="J31:L33" ca="1">_xlfn.ANCHORARRAY(F31):H31</f>
        <v>1</v>
      </c>
      <c r="K31">
        <f ca="1"/>
        <v>0</v>
      </c>
      <c r="L31">
        <f ca="1"/>
        <v>5</v>
      </c>
    </row>
    <row r="32" spans="1:12">
      <c r="A32">
        <f ca="1">J32</f>
        <v>2</v>
      </c>
      <c r="B32">
        <v>2</v>
      </c>
      <c r="C32" t="b">
        <f t="shared" ca="1" si="0"/>
        <v>1</v>
      </c>
      <c r="F32">
        <v>2</v>
      </c>
      <c r="G32">
        <v>7</v>
      </c>
      <c r="J32">
        <f ca="1"/>
        <v>2</v>
      </c>
      <c r="K32">
        <f ca="1"/>
        <v>7</v>
      </c>
      <c r="L32">
        <f ca="1"/>
        <v>0</v>
      </c>
    </row>
    <row r="33" spans="1:12">
      <c r="A33">
        <f ca="1">J33</f>
        <v>3</v>
      </c>
      <c r="B33">
        <v>3</v>
      </c>
      <c r="C33" t="b">
        <f t="shared" ca="1" si="0"/>
        <v>1</v>
      </c>
      <c r="F33">
        <v>3</v>
      </c>
      <c r="J33">
        <f ca="1"/>
        <v>3</v>
      </c>
      <c r="K33">
        <f ca="1"/>
        <v>0</v>
      </c>
      <c r="L33">
        <f ca="1"/>
        <v>0</v>
      </c>
    </row>
    <row r="34" spans="1:12">
      <c r="A34">
        <f ca="1">K31</f>
        <v>0</v>
      </c>
      <c r="B34">
        <v>0</v>
      </c>
      <c r="C34" t="b">
        <f t="shared" ca="1" si="0"/>
        <v>1</v>
      </c>
    </row>
    <row r="35" spans="1:12">
      <c r="A35">
        <f ca="1">K32</f>
        <v>7</v>
      </c>
      <c r="B35">
        <v>7</v>
      </c>
      <c r="C35" t="b">
        <f t="shared" ca="1" si="0"/>
        <v>1</v>
      </c>
    </row>
    <row r="36" spans="1:12">
      <c r="A36">
        <f ca="1">K33</f>
        <v>0</v>
      </c>
      <c r="B36">
        <v>0</v>
      </c>
      <c r="C36" t="b">
        <f t="shared" ca="1" si="0"/>
        <v>1</v>
      </c>
    </row>
    <row r="37" spans="1:12">
      <c r="A37">
        <f ca="1">L31</f>
        <v>5</v>
      </c>
      <c r="B37">
        <v>5</v>
      </c>
      <c r="C37" t="b">
        <f t="shared" ca="1" si="0"/>
        <v>1</v>
      </c>
    </row>
    <row r="38" spans="1:12">
      <c r="A38">
        <f ca="1">L32</f>
        <v>0</v>
      </c>
      <c r="B38">
        <v>0</v>
      </c>
      <c r="C38" t="b">
        <f t="shared" ca="1" si="0"/>
        <v>1</v>
      </c>
    </row>
    <row r="39" spans="1:12">
      <c r="A39">
        <f ca="1">L33</f>
        <v>0</v>
      </c>
      <c r="B39">
        <v>0</v>
      </c>
      <c r="C39" t="b">
        <f t="shared" ca="1" si="0"/>
        <v>1</v>
      </c>
    </row>
    <row r="40" spans="1:12">
      <c r="A40">
        <f ca="1">ERROR.TYPE(F40)</f>
        <v>3</v>
      </c>
      <c r="B40">
        <v>3</v>
      </c>
      <c r="C40" t="b">
        <f t="shared" ca="1" si="0"/>
        <v>1</v>
      </c>
      <c r="E40" t="s">
        <v>10</v>
      </c>
      <c r="F40" t="e">
        <f ca="1">(_xlfn.ANCHORARRAY(F31),H31)</f>
        <v>#VALUE!</v>
      </c>
    </row>
    <row r="41" spans="1:12">
      <c r="A41">
        <f ca="1">F41</f>
        <v>1</v>
      </c>
      <c r="B41">
        <v>1</v>
      </c>
      <c r="C41" t="b">
        <f t="shared" ca="1" si="0"/>
        <v>1</v>
      </c>
      <c r="D41" t="str">
        <f ca="1">_xlfn.FORMULATEXT(F41)</f>
        <v>=F31:H32 F31#</v>
      </c>
      <c r="F41" cm="1">
        <f t="array" aca="1" ref="F41:F42" ca="1">F31:H32 _xlfn.ANCHORARRAY(F31)</f>
        <v>1</v>
      </c>
    </row>
    <row r="42" spans="1:12">
      <c r="A42">
        <f ca="1">F42</f>
        <v>2</v>
      </c>
      <c r="B42">
        <v>2</v>
      </c>
      <c r="C42" t="b">
        <f t="shared" ca="1" si="0"/>
        <v>1</v>
      </c>
      <c r="F42">
        <f ca="1"/>
        <v>2</v>
      </c>
    </row>
    <row r="43" spans="1:12">
      <c r="A43">
        <f ca="1">F43</f>
        <v>1</v>
      </c>
      <c r="B43">
        <v>1</v>
      </c>
      <c r="C43" t="b">
        <f t="shared" ca="1" si="0"/>
        <v>1</v>
      </c>
      <c r="D43" t="str">
        <f ca="1">_xlfn.FORMULATEXT(F43)</f>
        <v>=F31# F31:H32</v>
      </c>
      <c r="F43" cm="1">
        <f t="array" aca="1" ref="F43:F44" ca="1">_xlfn.ANCHORARRAY(F31) F31:H32</f>
        <v>1</v>
      </c>
    </row>
    <row r="44" spans="1:12">
      <c r="A44">
        <f ca="1">F44</f>
        <v>2</v>
      </c>
      <c r="B44">
        <v>2</v>
      </c>
      <c r="C44" t="b">
        <f t="shared" ca="1" si="0"/>
        <v>1</v>
      </c>
      <c r="F44">
        <f ca="1"/>
        <v>2</v>
      </c>
    </row>
    <row r="45" spans="1:12">
      <c r="A45">
        <f ca="1">SUM(_xlfn.ANCHORARRAY(F31):H31)</f>
        <v>18</v>
      </c>
      <c r="B45">
        <v>18</v>
      </c>
      <c r="C45" t="b">
        <f t="shared" ca="1" si="0"/>
        <v>1</v>
      </c>
      <c r="D45" t="str">
        <f ca="1">_xlfn.FORMULATEXT(A45)</f>
        <v>=SUM(F31#:H31)</v>
      </c>
    </row>
    <row r="46" spans="1:12">
      <c r="A46">
        <f ca="1">SUM((_xlfn.ANCHORARRAY(F31), H31))</f>
        <v>11</v>
      </c>
      <c r="B46">
        <v>11</v>
      </c>
      <c r="C46" t="b">
        <f t="shared" ca="1" si="0"/>
        <v>1</v>
      </c>
      <c r="D46" t="str">
        <f ca="1">_xlfn.FORMULATEXT(A46)</f>
        <v>=SUM((F31#, H31))</v>
      </c>
    </row>
    <row r="47" spans="1:12">
      <c r="A47">
        <f ca="1">SUM(F31:H32 _xlfn.ANCHORARRAY(F31))</f>
        <v>3</v>
      </c>
      <c r="B47">
        <v>3</v>
      </c>
      <c r="C47" t="b">
        <f t="shared" ca="1" si="0"/>
        <v>1</v>
      </c>
      <c r="D47" t="str">
        <f ca="1">_xlfn.FORMULATEXT(A47)</f>
        <v>=SUM(F31:H32 F31#)</v>
      </c>
    </row>
    <row r="48" spans="1:12">
      <c r="A48">
        <f ca="1">SUM(_xlfn.ANCHORARRAY(F31) F31:H32)</f>
        <v>3</v>
      </c>
      <c r="B48">
        <v>3</v>
      </c>
      <c r="C48" t="b">
        <f t="shared" ca="1" si="0"/>
        <v>1</v>
      </c>
      <c r="D48" t="str">
        <f ca="1">_xlfn.FORMULATEXT(A48)</f>
        <v>=SUM(F31# F31:H32)</v>
      </c>
    </row>
    <row r="49" spans="1:15">
      <c r="A49" cm="1">
        <f t="array" ref="A49">SUM(_xlfn.ANCHORARRAY(F31)%)</f>
        <v>0.06</v>
      </c>
      <c r="B49">
        <v>0.06</v>
      </c>
      <c r="C49" t="b">
        <f t="shared" si="0"/>
        <v>1</v>
      </c>
      <c r="D49" t="str">
        <f ca="1">_xlfn.FORMULATEXT(A49)</f>
        <v>=SUM(F31#%)</v>
      </c>
    </row>
    <row r="50" spans="1:15">
      <c r="A50" t="b" cm="1">
        <f t="array" ref="A50">ISREF(_xlfn.ANCHORARRAY(F31)%)</f>
        <v>0</v>
      </c>
      <c r="B50" t="b">
        <v>0</v>
      </c>
      <c r="C50" t="b">
        <f t="shared" si="0"/>
        <v>1</v>
      </c>
      <c r="D50" t="str">
        <f ca="1">_xlfn.FORMULATEXT(A50)</f>
        <v>=ISREF(F31#%)</v>
      </c>
    </row>
    <row r="51" spans="1:15">
      <c r="A51" cm="1">
        <f t="array" ref="A51">_xlfn.SINGLE((_xlfn.ANCHORARRAY(F31)%))</f>
        <v>0.01</v>
      </c>
      <c r="B51">
        <v>0.01</v>
      </c>
      <c r="C51" t="b">
        <f t="shared" si="0"/>
        <v>1</v>
      </c>
      <c r="D51" t="str">
        <f ca="1">_xlfn.FORMULATEXT(A51)</f>
        <v>=@(F31#%)</v>
      </c>
    </row>
    <row r="52" spans="1:15">
      <c r="A52" cm="1">
        <f t="array" ref="A52:A54">ABS(_xlfn.ANCHORARRAY(F31))</f>
        <v>1</v>
      </c>
      <c r="B52">
        <v>1</v>
      </c>
      <c r="C52" t="b">
        <f t="shared" si="0"/>
        <v>1</v>
      </c>
      <c r="D52" t="str">
        <f ca="1">_xlfn.FORMULATEXT(A52)</f>
        <v>=ABS(F31#)</v>
      </c>
    </row>
    <row r="53" spans="1:15">
      <c r="A53">
        <v>2</v>
      </c>
      <c r="B53">
        <v>2</v>
      </c>
      <c r="C53" t="b">
        <f t="shared" si="0"/>
        <v>1</v>
      </c>
    </row>
    <row r="54" spans="1:15">
      <c r="A54">
        <v>3</v>
      </c>
      <c r="B54">
        <v>3</v>
      </c>
      <c r="C54" t="b">
        <f t="shared" si="0"/>
        <v>1</v>
      </c>
    </row>
    <row r="55" spans="1:15">
      <c r="A55" cm="1">
        <f t="array" ref="A55:A57">ABS(-_xlfn.ANCHORARRAY(F31))</f>
        <v>1</v>
      </c>
      <c r="B55">
        <v>1</v>
      </c>
      <c r="C55" t="b">
        <f t="shared" si="0"/>
        <v>1</v>
      </c>
      <c r="D55" t="str">
        <f ca="1">_xlfn.FORMULATEXT(A55)</f>
        <v>=ABS(-F31#)</v>
      </c>
    </row>
    <row r="56" spans="1:15">
      <c r="A56">
        <v>2</v>
      </c>
      <c r="B56">
        <v>2</v>
      </c>
      <c r="C56" t="b">
        <f t="shared" si="0"/>
        <v>1</v>
      </c>
    </row>
    <row r="57" spans="1:15">
      <c r="A57">
        <v>3</v>
      </c>
      <c r="B57">
        <v>3</v>
      </c>
      <c r="C57" t="b">
        <f t="shared" si="0"/>
        <v>1</v>
      </c>
    </row>
    <row r="58" spans="1:15">
      <c r="A58">
        <f>N59</f>
        <v>1</v>
      </c>
      <c r="B58">
        <v>1</v>
      </c>
      <c r="C58" t="b">
        <f t="shared" si="0"/>
        <v>1</v>
      </c>
      <c r="D58" t="str">
        <f ca="1">_xlfn.FORMULATEXT(N59)</f>
        <v>=@(SORT(F58#))</v>
      </c>
      <c r="F58" cm="1">
        <f t="array" ref="F58:F60">J58:J60</f>
        <v>3</v>
      </c>
      <c r="J58">
        <v>3</v>
      </c>
      <c r="L58" cm="1">
        <f t="array" ref="L58:L60">_xlfn.SEQUENCE(3)</f>
        <v>1</v>
      </c>
    </row>
    <row r="59" spans="1:15">
      <c r="A59">
        <f>O59</f>
        <v>4</v>
      </c>
      <c r="B59">
        <v>4</v>
      </c>
      <c r="C59" t="b">
        <f t="shared" si="0"/>
        <v>1</v>
      </c>
      <c r="D59" t="str">
        <f ca="1">_xlfn.FORMULATEXT(O59)</f>
        <v>=@(F58#+L58#)</v>
      </c>
      <c r="F59">
        <v>1</v>
      </c>
      <c r="J59">
        <v>1</v>
      </c>
      <c r="L59">
        <v>2</v>
      </c>
      <c r="N59">
        <f>_xlfn.SINGLE((_xlfn._xlws.SORT(_xlfn.ANCHORARRAY(F58))))</f>
        <v>1</v>
      </c>
      <c r="O59" cm="1">
        <f t="array" ref="O59">_xlfn.SINGLE((_xlfn.ANCHORARRAY(F58)+_xlfn.ANCHORARRAY(L58)))</f>
        <v>4</v>
      </c>
    </row>
    <row r="60" spans="1:15">
      <c r="A60">
        <f>ERROR.TYPE(N60)</f>
        <v>3</v>
      </c>
      <c r="B60">
        <v>3</v>
      </c>
      <c r="C60" t="b">
        <f t="shared" si="0"/>
        <v>1</v>
      </c>
      <c r="D60" t="str">
        <f ca="1">_xlfn.FORMULATEXT(N60)</f>
        <v>=(F58,F59)&amp;"x"</v>
      </c>
      <c r="F60">
        <v>2</v>
      </c>
      <c r="J60">
        <v>2</v>
      </c>
      <c r="L60">
        <v>3</v>
      </c>
      <c r="N60" t="e">
        <f>(F58,F59)&amp;"x"</f>
        <v>#VALUE!</v>
      </c>
    </row>
    <row r="61" spans="1:15">
      <c r="A61">
        <f>ERROR.TYPE(N61)</f>
        <v>3</v>
      </c>
      <c r="B61">
        <v>3</v>
      </c>
      <c r="C61" t="b">
        <f t="shared" si="0"/>
        <v>1</v>
      </c>
      <c r="D61" t="str">
        <f ca="1">_xlfn.FORMULATEXT(N61)</f>
        <v>=(F25,F26)+1</v>
      </c>
      <c r="N61" t="e">
        <f>(F25,F26)+1</f>
        <v>#VALUE!</v>
      </c>
    </row>
    <row r="62" spans="1:15">
      <c r="A62" t="b">
        <f>ISTEXT(F62)</f>
        <v>1</v>
      </c>
      <c r="B62" t="b">
        <v>1</v>
      </c>
      <c r="C62" t="b">
        <f t="shared" ref="C62" si="1">A62=B62</f>
        <v>1</v>
      </c>
      <c r="E62" t="s">
        <v>9</v>
      </c>
      <c r="F62" t="s">
        <v>13</v>
      </c>
    </row>
    <row r="63" spans="1:15">
      <c r="A63" t="b">
        <f>ISTEXT(F63)</f>
        <v>1</v>
      </c>
      <c r="B63" t="b">
        <v>1</v>
      </c>
      <c r="C63" t="b">
        <f t="shared" ref="C63:C64" si="2">A63=B63</f>
        <v>1</v>
      </c>
      <c r="E63" t="s">
        <v>9</v>
      </c>
      <c r="F63" t="s">
        <v>14</v>
      </c>
    </row>
    <row r="64" spans="1:15">
      <c r="A64">
        <f ca="1">F64</f>
        <v>101</v>
      </c>
      <c r="B64">
        <v>101</v>
      </c>
      <c r="C64" t="b">
        <f t="shared" ca="1" si="2"/>
        <v>1</v>
      </c>
      <c r="D64" t="str">
        <f ca="1">_xlfn.FORMULATEXT(F64)</f>
        <v>=SUM((INDEX(F5:F7,1),F25))</v>
      </c>
      <c r="F64">
        <f ca="1">SUM((INDEX(F5:F7,1),F25))</f>
        <v>101</v>
      </c>
    </row>
    <row r="65" spans="1:6">
      <c r="A65" t="b">
        <f>ISTEXT(F65)</f>
        <v>1</v>
      </c>
      <c r="B65" t="b">
        <v>1</v>
      </c>
      <c r="C65" t="b">
        <f t="shared" ref="C65" si="3">A65=B65</f>
        <v>1</v>
      </c>
      <c r="E65" t="s">
        <v>9</v>
      </c>
      <c r="F65" t="s">
        <v>15</v>
      </c>
    </row>
    <row r="66" spans="1:6">
      <c r="A66" t="b">
        <f>ISTEXT(F66)</f>
        <v>1</v>
      </c>
      <c r="B66" t="b">
        <v>1</v>
      </c>
      <c r="C66" t="b">
        <f t="shared" ref="C66:C67" si="4">A66=B66</f>
        <v>1</v>
      </c>
      <c r="E66" t="s">
        <v>9</v>
      </c>
      <c r="F66" t="s">
        <v>16</v>
      </c>
    </row>
    <row r="67" spans="1:6">
      <c r="A67">
        <f>ERROR.TYPE(F67)</f>
        <v>3</v>
      </c>
      <c r="B67">
        <v>3</v>
      </c>
      <c r="C67" t="b">
        <f t="shared" si="4"/>
        <v>1</v>
      </c>
      <c r="D67" t="str">
        <f ca="1">_xlfn.FORMULATEXT(F67)</f>
        <v>=(F25, F26%%)</v>
      </c>
      <c r="F67" t="e">
        <f>(F25, F26%%)</f>
        <v>#VALUE!</v>
      </c>
    </row>
    <row r="68" spans="1:6">
      <c r="A68">
        <f>ERROR.TYPE(F68)</f>
        <v>3</v>
      </c>
      <c r="B68">
        <v>3</v>
      </c>
      <c r="C68" t="b">
        <f t="shared" ref="C68:C69" si="5">A68=B68</f>
        <v>1</v>
      </c>
      <c r="D68" t="str">
        <f ca="1">_xlfn.FORMULATEXT(F68)</f>
        <v>=SUM((F25, F26%))</v>
      </c>
      <c r="F68" t="e">
        <f>SUM((F25, F26%))</f>
        <v>#VALUE!</v>
      </c>
    </row>
    <row r="69" spans="1:6">
      <c r="A69">
        <f>F69</f>
        <v>400</v>
      </c>
      <c r="B69">
        <v>400</v>
      </c>
      <c r="C69" t="b">
        <f t="shared" si="5"/>
        <v>1</v>
      </c>
      <c r="D69" t="str">
        <f ca="1">_xlfn.FORMULATEXT(F69)</f>
        <v>=SUM((F25, (F25,F26)))</v>
      </c>
      <c r="F69">
        <f>SUM((F25, (F25,F26)))</f>
        <v>400</v>
      </c>
    </row>
    <row r="70" spans="1:6">
      <c r="A70">
        <f>F70</f>
        <v>500</v>
      </c>
      <c r="B70">
        <v>500</v>
      </c>
      <c r="C70" t="b">
        <f t="shared" ref="C70:C72" si="6">A70=B70</f>
        <v>1</v>
      </c>
      <c r="D70" t="str">
        <f ca="1">_xlfn.FORMULATEXT(F70)</f>
        <v>=SUM(((F25,F26),F26))</v>
      </c>
      <c r="F70">
        <f>SUM(((F25,F26),F26))</f>
        <v>500</v>
      </c>
    </row>
    <row r="71" spans="1:6">
      <c r="A71">
        <v>300</v>
      </c>
      <c r="B71">
        <v>300</v>
      </c>
      <c r="C71" t="b">
        <f t="shared" si="6"/>
        <v>1</v>
      </c>
      <c r="D71" t="str">
        <f ca="1">_xlfn.FORMULATEXT(F71)</f>
        <v>=SUM((F25, IF(TRUE,F26,F27)))</v>
      </c>
      <c r="F71">
        <f ca="1">SUM((F25, IF(TRUE,F26,F27)))</f>
        <v>300</v>
      </c>
    </row>
    <row r="72" spans="1:6">
      <c r="A72" t="b">
        <f>ISTEXT(F72)</f>
        <v>1</v>
      </c>
      <c r="B72" t="b">
        <v>1</v>
      </c>
      <c r="C72" t="b">
        <f t="shared" si="6"/>
        <v>1</v>
      </c>
      <c r="E72" t="s">
        <v>9</v>
      </c>
      <c r="F72" t="s">
        <v>17</v>
      </c>
    </row>
    <row r="73" spans="1:6">
      <c r="A73" t="b">
        <f>ISTEXT(F73)</f>
        <v>1</v>
      </c>
      <c r="B73" t="b">
        <v>1</v>
      </c>
      <c r="C73" t="b">
        <f t="shared" ref="C73:C75" si="7">A73=B73</f>
        <v>1</v>
      </c>
      <c r="E73" t="s">
        <v>9</v>
      </c>
      <c r="F73" t="s">
        <v>18</v>
      </c>
    </row>
    <row r="74" spans="1:6">
      <c r="A74" t="b">
        <f>ISTEXT(F74)</f>
        <v>1</v>
      </c>
      <c r="B74" t="b">
        <v>1</v>
      </c>
      <c r="C74" t="b">
        <f t="shared" si="7"/>
        <v>1</v>
      </c>
      <c r="E74" t="s">
        <v>9</v>
      </c>
      <c r="F74" t="s">
        <v>19</v>
      </c>
    </row>
    <row r="75" spans="1:6">
      <c r="A75">
        <f>ERROR.TYPE(F75)</f>
        <v>3</v>
      </c>
      <c r="B75">
        <v>3</v>
      </c>
      <c r="C75" t="b">
        <f t="shared" si="7"/>
        <v>1</v>
      </c>
      <c r="D75" t="str">
        <f ca="1">_xlfn.FORMULATEXT(F75)</f>
        <v>=(F25, F25+F26)</v>
      </c>
      <c r="F75" t="e">
        <f>(F25, F25+F26)</f>
        <v>#VALUE!</v>
      </c>
    </row>
    <row r="76" spans="1:6">
      <c r="A76" t="b">
        <f>ISTEXT(F76)</f>
        <v>1</v>
      </c>
      <c r="B76" t="b">
        <v>1</v>
      </c>
      <c r="C76" t="b">
        <f t="shared" ref="C76:C77" si="8">A76=B76</f>
        <v>1</v>
      </c>
      <c r="E76" t="s">
        <v>9</v>
      </c>
      <c r="F76" t="s">
        <v>20</v>
      </c>
    </row>
    <row r="77" spans="1:6">
      <c r="A77" t="b">
        <f>F77</f>
        <v>0</v>
      </c>
      <c r="B77" t="b">
        <v>0</v>
      </c>
      <c r="C77" t="b">
        <f t="shared" si="8"/>
        <v>1</v>
      </c>
      <c r="D77" t="str">
        <f ca="1">_xlfn.FORMULATEXT(F77)</f>
        <v>=ISREF((F25, F26%))</v>
      </c>
      <c r="F77" t="b">
        <f>ISREF((F25, F26%))</f>
        <v>0</v>
      </c>
    </row>
    <row r="78" spans="1:6">
      <c r="A78">
        <f>F78</f>
        <v>2</v>
      </c>
      <c r="B78">
        <v>2</v>
      </c>
      <c r="C78" t="b">
        <f t="shared" ref="C78:C81" si="9">A78=B78</f>
        <v>1</v>
      </c>
      <c r="D78" t="str">
        <f ca="1">_xlfn.FORMULATEXT(F78)</f>
        <v>=AREAS((F25, F26))</v>
      </c>
      <c r="F78">
        <f>AREAS((F25, F26))</f>
        <v>2</v>
      </c>
    </row>
    <row r="79" spans="1:6">
      <c r="A79" t="b">
        <f>ISTEXT(F79)</f>
        <v>1</v>
      </c>
      <c r="B79" t="b">
        <v>1</v>
      </c>
      <c r="C79" t="b">
        <f t="shared" si="9"/>
        <v>1</v>
      </c>
      <c r="E79" t="s">
        <v>9</v>
      </c>
      <c r="F79" t="s">
        <v>21</v>
      </c>
    </row>
    <row r="80" spans="1:6">
      <c r="A80">
        <f>F80</f>
        <v>0</v>
      </c>
      <c r="B80">
        <v>0</v>
      </c>
      <c r="C80" t="b">
        <f t="shared" si="9"/>
        <v>1</v>
      </c>
      <c r="D80" t="str">
        <f ca="1">_xlfn.FORMULATEXT(F80)</f>
        <v>=COUNT((F25, F26%))</v>
      </c>
      <c r="F80">
        <f>COUNT((F25, F26%))</f>
        <v>0</v>
      </c>
    </row>
    <row r="81" spans="1:9">
      <c r="A81">
        <f>ERROR.TYPE(F81)</f>
        <v>3</v>
      </c>
      <c r="B81">
        <v>3</v>
      </c>
      <c r="C81" t="b">
        <f t="shared" si="9"/>
        <v>1</v>
      </c>
      <c r="D81" t="str">
        <f ca="1">_xlfn.FORMULATEXT(F81)</f>
        <v>=(F25, F26) &amp; "x"</v>
      </c>
      <c r="F81" t="e">
        <f>(F25, F26) &amp; "x"</f>
        <v>#VALUE!</v>
      </c>
    </row>
    <row r="82" spans="1:9">
      <c r="A82">
        <f>ERROR.TYPE(F82)</f>
        <v>3</v>
      </c>
      <c r="B82">
        <v>3</v>
      </c>
      <c r="C82" t="b">
        <f t="shared" ref="C82:C84" si="10">A82=B82</f>
        <v>1</v>
      </c>
      <c r="D82" t="str">
        <f ca="1">_xlfn.FORMULATEXT(F82)</f>
        <v>=@(F25, F26)</v>
      </c>
      <c r="F82" t="e">
        <f>_xlfn.SINGLE((F25, F26))</f>
        <v>#VALUE!</v>
      </c>
    </row>
    <row r="83" spans="1:9">
      <c r="A83">
        <f>F83</f>
        <v>5</v>
      </c>
      <c r="B83">
        <v>5</v>
      </c>
      <c r="C83" t="b">
        <f t="shared" si="10"/>
        <v>1</v>
      </c>
      <c r="D83" t="str">
        <f ca="1">_xlfn.FORMULATEXT(F83)</f>
        <v>=@5</v>
      </c>
      <c r="F83">
        <f>_xlfn.SINGLE(5)</f>
        <v>5</v>
      </c>
    </row>
    <row r="84" spans="1:9">
      <c r="A84" t="str">
        <f>F84</f>
        <v>x</v>
      </c>
      <c r="B84" t="s">
        <v>22</v>
      </c>
      <c r="C84" t="b">
        <f t="shared" si="10"/>
        <v>1</v>
      </c>
      <c r="D84" t="str">
        <f ca="1">_xlfn.FORMULATEXT(F84)</f>
        <v>=@"x"</v>
      </c>
      <c r="F84" t="str">
        <f>_xlfn.SINGLE("x")</f>
        <v>x</v>
      </c>
    </row>
    <row r="85" spans="1:9">
      <c r="A85">
        <f>F85</f>
        <v>300</v>
      </c>
      <c r="B85">
        <v>300</v>
      </c>
      <c r="C85" t="b">
        <f t="shared" ref="C85:C87" si="11">A85=B85</f>
        <v>1</v>
      </c>
      <c r="D85" t="str">
        <f ca="1">_xlfn.FORMULATEXT(F85)</f>
        <v>=@SUM(F25:F26)</v>
      </c>
      <c r="F85">
        <f>_xlfn.SINGLE(SUM(F25:F26))</f>
        <v>300</v>
      </c>
    </row>
    <row r="86" spans="1:9">
      <c r="A86">
        <f>ERROR.TYPE(F86)</f>
        <v>4</v>
      </c>
      <c r="B86">
        <v>4</v>
      </c>
      <c r="C86" t="b">
        <f t="shared" si="11"/>
        <v>1</v>
      </c>
      <c r="D86" t="str">
        <f ca="1">_xlfn.FORMULATEXT(F86)</f>
        <v>=(F25:F26)#</v>
      </c>
      <c r="F86" t="e" cm="1">
        <f t="array" ref="F86">_xlfn.ANCHORARRAY((F25:F26))</f>
        <v>#REF!</v>
      </c>
    </row>
    <row r="87" spans="1:9">
      <c r="A87">
        <f>ERROR.TYPE(F87)</f>
        <v>4</v>
      </c>
      <c r="B87">
        <v>4</v>
      </c>
      <c r="C87" t="b">
        <f t="shared" si="11"/>
        <v>1</v>
      </c>
      <c r="D87" t="str">
        <f ca="1">_xlfn.FORMULATEXT(F87)</f>
        <v>=(F25,F26)#</v>
      </c>
      <c r="F87" t="e" cm="1">
        <f t="array" ref="F87">_xlfn.ANCHORARRAY((F25,F26))</f>
        <v>#REF!</v>
      </c>
    </row>
    <row r="88" spans="1:9">
      <c r="A88">
        <f>F88</f>
        <v>450</v>
      </c>
      <c r="B88">
        <v>450</v>
      </c>
      <c r="C88" t="b">
        <f t="shared" ref="C88" si="12">A88=B88</f>
        <v>1</v>
      </c>
      <c r="D88" t="str">
        <f ca="1">_xlfn.FORMULATEXT(F88)</f>
        <v>=SUM((F25,F26):F27)</v>
      </c>
      <c r="F88">
        <f>SUM((F25,F26):F27)</f>
        <v>450</v>
      </c>
      <c r="H88">
        <v>30</v>
      </c>
      <c r="I88">
        <v>100</v>
      </c>
    </row>
    <row r="89" spans="1:9">
      <c r="A89">
        <f ca="1">F89</f>
        <v>300</v>
      </c>
      <c r="B89">
        <v>300</v>
      </c>
      <c r="C89" t="b">
        <f t="shared" ref="C89" ca="1" si="13">A89=B89</f>
        <v>1</v>
      </c>
      <c r="D89" t="str">
        <f ca="1">_xlfn.FORMULATEXT(F89)</f>
        <v>=SUM(F25:IF(TRUE,F26))</v>
      </c>
      <c r="F89">
        <f ca="1">SUM(F25:IF(TRUE,F26))</f>
        <v>300</v>
      </c>
      <c r="H89">
        <v>15</v>
      </c>
      <c r="I89">
        <v>350</v>
      </c>
    </row>
    <row r="90" spans="1:9">
      <c r="A90">
        <f>F90</f>
        <v>45</v>
      </c>
      <c r="B90">
        <v>45</v>
      </c>
      <c r="C90" t="b">
        <f t="shared" ref="C90:C91" si="14">A90=B90</f>
        <v>1</v>
      </c>
      <c r="D90" t="str">
        <f ca="1">_xlfn.FORMULATEXT(F90)</f>
        <v>=SUM((H88:I88,H89:I89) H88:H89)</v>
      </c>
      <c r="F90">
        <f>SUM((H88:I88,H89:I89) H88:H89)</f>
        <v>45</v>
      </c>
      <c r="H90">
        <v>25</v>
      </c>
      <c r="I90">
        <v>250</v>
      </c>
    </row>
    <row r="91" spans="1:9">
      <c r="A91">
        <f ca="1">ERROR.TYPE(F91)</f>
        <v>5</v>
      </c>
      <c r="B91">
        <v>5</v>
      </c>
      <c r="C91" t="b">
        <f t="shared" ca="1" si="14"/>
        <v>1</v>
      </c>
      <c r="D91" t="str">
        <f ca="1">_xlfn.FORMULATEXT(F91)</f>
        <v>=NOSUCHFUNCTION(F25, F26%)</v>
      </c>
      <c r="E91" t="s">
        <v>23</v>
      </c>
      <c r="F91" t="e" cm="1">
        <f t="array" aca="1" ref="F91" ca="1">NOSUCHFUNCTION(F25, F26%)</f>
        <v>#NAME?</v>
      </c>
    </row>
    <row r="92" spans="1:9">
      <c r="A92">
        <f>ERROR.TYPE(F92)</f>
        <v>1</v>
      </c>
      <c r="B92">
        <v>1</v>
      </c>
      <c r="C92" t="b">
        <f t="shared" ref="C92:C93" si="15">A92=B92</f>
        <v>1</v>
      </c>
      <c r="D92" t="str">
        <f ca="1">_xlfn.FORMULATEXT(F92)</f>
        <v>=SUM(F25:F26 (H88:I88, H89:I89))</v>
      </c>
      <c r="E92" t="s">
        <v>24</v>
      </c>
      <c r="F92" t="e">
        <f>SUM(F25:F26 (H88:I88, H89:I89))</f>
        <v>#NULL!</v>
      </c>
    </row>
    <row r="93" spans="1:9">
      <c r="A93">
        <f>F93</f>
        <v>300</v>
      </c>
      <c r="B93">
        <v>300</v>
      </c>
      <c r="C93" t="b">
        <f t="shared" si="15"/>
        <v>1</v>
      </c>
      <c r="D93" t="str">
        <f ca="1">_xlfn.FORMULATEXT(F93)</f>
        <v>=SUM(F25:F26 (F25:F26))</v>
      </c>
      <c r="F93">
        <f>SUM(F25:F26 (F25:F26))</f>
        <v>300</v>
      </c>
    </row>
    <row r="94" spans="1:9">
      <c r="A94">
        <f>F94</f>
        <v>495</v>
      </c>
      <c r="B94">
        <v>495</v>
      </c>
      <c r="C94" t="b">
        <f t="shared" ref="C94:C95" si="16">A94=B94</f>
        <v>1</v>
      </c>
      <c r="D94" t="str">
        <f ca="1">_xlfn.FORMULATEXT(F94)</f>
        <v>=SUM((H88:I88, H89:I89) (H88:I88, H89:I89))</v>
      </c>
      <c r="F94">
        <f>SUM((H88:I88, H89:I89) (H88:I88, H89:I89))</f>
        <v>495</v>
      </c>
    </row>
    <row r="95" spans="1:9">
      <c r="A95" t="b">
        <f>ISTEXT(F95)</f>
        <v>1</v>
      </c>
      <c r="B95" t="b">
        <v>1</v>
      </c>
      <c r="C95" t="b">
        <f t="shared" si="16"/>
        <v>1</v>
      </c>
      <c r="E95" t="s">
        <v>9</v>
      </c>
      <c r="F95" t="s">
        <v>25</v>
      </c>
    </row>
    <row r="96" spans="1:9">
      <c r="A96">
        <f ca="1">F96</f>
        <v>300</v>
      </c>
      <c r="B96">
        <v>300</v>
      </c>
      <c r="C96" t="b">
        <f t="shared" ref="C96:C99" ca="1" si="17">A96=B96</f>
        <v>1</v>
      </c>
      <c r="D96" t="str">
        <f ca="1">_xlfn.FORMULATEXT(F96)</f>
        <v>=SUM((F25, SWITCH(1,1,F26)))</v>
      </c>
      <c r="F96">
        <f ca="1">SUM((F25, _xlfn.SWITCH(1,1,F26)))</f>
        <v>300</v>
      </c>
    </row>
    <row r="97" spans="1:15">
      <c r="A97">
        <f ca="1">F97</f>
        <v>300</v>
      </c>
      <c r="B97">
        <v>300</v>
      </c>
      <c r="C97" t="b">
        <f t="shared" ca="1" si="17"/>
        <v>1</v>
      </c>
      <c r="D97" t="str">
        <f ca="1">_xlfn.FORMULATEXT(F97)</f>
        <v>=SUM((F25, IFS(TRUE, F26)))</v>
      </c>
      <c r="F97">
        <f ca="1">SUM((F25, _xlfn.IFS(TRUE, F26)))</f>
        <v>300</v>
      </c>
    </row>
    <row r="98" spans="1:15">
      <c r="A98">
        <f ca="1">F98</f>
        <v>300</v>
      </c>
      <c r="B98">
        <v>300</v>
      </c>
      <c r="C98" t="b">
        <f t="shared" ca="1" si="17"/>
        <v>1</v>
      </c>
      <c r="D98" t="str">
        <f ca="1">_xlfn.FORMULATEXT(F98)</f>
        <v>=SUM((F25, XLOOKUP(200, F26:F27, F26:F27)))</v>
      </c>
      <c r="F98">
        <f ca="1">SUM((F25, _xlfn.XLOOKUP(200, F26:F27, F26:F27)))</f>
        <v>300</v>
      </c>
    </row>
    <row r="99" spans="1:15">
      <c r="A99">
        <f>ERROR.TYPE(F99)</f>
        <v>4</v>
      </c>
      <c r="B99">
        <v>4</v>
      </c>
      <c r="C99" t="b">
        <f t="shared" si="17"/>
        <v>1</v>
      </c>
      <c r="D99" t="str">
        <f ca="1">_xlfn.FORMULATEXT(F99)</f>
        <v>=(F25 ,#REF!)</v>
      </c>
      <c r="F99" t="e">
        <f>(F25 ,#REF!)</f>
        <v>#REF!</v>
      </c>
    </row>
    <row r="100" spans="1:15">
      <c r="A100">
        <f>F100</f>
        <v>300</v>
      </c>
      <c r="B100">
        <v>300</v>
      </c>
      <c r="C100" t="b">
        <f t="shared" ref="C100:C101" si="18">A100=B100</f>
        <v>1</v>
      </c>
      <c r="D100" t="str">
        <f ca="1">_xlfn.FORMULATEXT(F100)</f>
        <v>=SUM(F25:(F26))</v>
      </c>
      <c r="F100">
        <f>SUM(F25:(F26))</f>
        <v>300</v>
      </c>
    </row>
    <row r="101" spans="1:15">
      <c r="A101">
        <f>F101</f>
        <v>450</v>
      </c>
      <c r="B101">
        <v>450</v>
      </c>
      <c r="C101" t="b">
        <f t="shared" si="18"/>
        <v>1</v>
      </c>
      <c r="D101" t="str">
        <f ca="1">_xlfn.FORMULATEXT(F101)</f>
        <v>=SUM(F25:(F26,F27))</v>
      </c>
      <c r="F101">
        <f>SUM(F25:(F26,F27))</f>
        <v>450</v>
      </c>
    </row>
    <row r="102" spans="1:15">
      <c r="A102">
        <f ca="1">ERROR.TYPE(F102)</f>
        <v>3</v>
      </c>
      <c r="B102">
        <v>3</v>
      </c>
      <c r="C102" t="b">
        <f t="shared" ref="C102:C103" ca="1" si="19">A102=B102</f>
        <v>1</v>
      </c>
      <c r="D102" t="str">
        <f ca="1">_xlfn.FORMULATEXT(F102)</f>
        <v>=(F25, @F26)</v>
      </c>
      <c r="E102" t="s">
        <v>10</v>
      </c>
      <c r="F102" t="e">
        <f ca="1">(F25, _xlfn.SINGLE(F26))</f>
        <v>#VALUE!</v>
      </c>
    </row>
    <row r="103" spans="1:15">
      <c r="A103">
        <f ca="1">F103</f>
        <v>300</v>
      </c>
      <c r="B103">
        <v>300</v>
      </c>
      <c r="C103" t="b">
        <f t="shared" ca="1" si="19"/>
        <v>1</v>
      </c>
      <c r="D103" t="str">
        <f ca="1">_xlfn.FORMULATEXT(F103)</f>
        <v>=SUM((F25, CHOOSE(1,F26)))</v>
      </c>
      <c r="F103">
        <f ca="1">SUM((F25, CHOOSE(1,F26)))</f>
        <v>300</v>
      </c>
    </row>
    <row r="104" spans="1:15">
      <c r="A104">
        <f ca="1">F104</f>
        <v>300</v>
      </c>
      <c r="B104">
        <v>300</v>
      </c>
      <c r="C104" t="b">
        <f t="shared" ref="C104" ca="1" si="20">A104=B104</f>
        <v>1</v>
      </c>
      <c r="D104" t="str">
        <f ca="1">_xlfn.FORMULATEXT(F104)</f>
        <v>=SUM((F25, INDEX(F25:F26, 2)))</v>
      </c>
      <c r="F104">
        <f ca="1">SUM((F25, INDEX(F25:F26, 2)))</f>
        <v>300</v>
      </c>
    </row>
    <row r="105" spans="1:15">
      <c r="A105">
        <f ca="1">F105</f>
        <v>300</v>
      </c>
      <c r="B105">
        <v>300</v>
      </c>
      <c r="C105" t="b">
        <f t="shared" ref="C105:C106" ca="1" si="21">A105=B105</f>
        <v>1</v>
      </c>
      <c r="D105" t="str">
        <f ca="1">_xlfn.FORMULATEXT(F105)</f>
        <v>=SUM((F25, INDIRECT("F26")))</v>
      </c>
      <c r="F105">
        <f ca="1">SUM((F25, INDIRECT("F26")))</f>
        <v>300</v>
      </c>
    </row>
    <row r="106" spans="1:15">
      <c r="A106">
        <f ca="1">F106</f>
        <v>300</v>
      </c>
      <c r="B106">
        <v>300</v>
      </c>
      <c r="C106" t="b">
        <f t="shared" ca="1" si="21"/>
        <v>1</v>
      </c>
      <c r="D106" t="str">
        <f ca="1">_xlfn.FORMULATEXT(F106)</f>
        <v>=SUM((F25, OFFSET(F25, 1, 0)))</v>
      </c>
      <c r="F106">
        <f ca="1">SUM((F25, OFFSET(F25, 1, 0)))</f>
        <v>300</v>
      </c>
    </row>
    <row r="107" spans="1:15">
      <c r="A107">
        <f>F107</f>
        <v>300</v>
      </c>
      <c r="B107">
        <v>300</v>
      </c>
      <c r="C107" t="b">
        <f t="shared" ref="C107" si="22">A107=B107</f>
        <v>1</v>
      </c>
      <c r="D107" t="str">
        <f ca="1">_xlfn.FORMULATEXT(F107)</f>
        <v>=SUM((F25, (F26)))</v>
      </c>
      <c r="F107">
        <f>SUM((F25, (F26)))</f>
        <v>300</v>
      </c>
    </row>
    <row r="108" spans="1:15">
      <c r="A108">
        <f ca="1">F108</f>
        <v>300</v>
      </c>
      <c r="B108">
        <v>300</v>
      </c>
      <c r="C108" t="b">
        <f t="shared" ref="C108" ca="1" si="23">A108=B108</f>
        <v>1</v>
      </c>
      <c r="D108" t="str">
        <f ca="1">_xlfn.FORMULATEXT(F108)</f>
        <v>=SUM(F25:CHOOSE(1,F26))</v>
      </c>
      <c r="F108">
        <f ca="1">SUM(F25:CHOOSE(1,F26))</f>
        <v>300</v>
      </c>
    </row>
    <row r="109" spans="1:15">
      <c r="A109">
        <f ca="1">F109</f>
        <v>300</v>
      </c>
      <c r="B109">
        <v>300</v>
      </c>
      <c r="C109" t="b">
        <f t="shared" ref="C109" ca="1" si="24">A109=B109</f>
        <v>1</v>
      </c>
      <c r="D109" t="str">
        <f ca="1">_xlfn.FORMULATEXT(F109)</f>
        <v>=SUM((F25, MYRANGE))</v>
      </c>
      <c r="F109">
        <f ca="1">SUM((F25, MYRANGE))</f>
        <v>300</v>
      </c>
    </row>
    <row r="110" spans="1:15">
      <c r="A110">
        <f ca="1">F110</f>
        <v>100</v>
      </c>
      <c r="B110">
        <v>100</v>
      </c>
      <c r="C110" t="b">
        <f t="shared" ref="C110" ca="1" si="25">A110=B110</f>
        <v>1</v>
      </c>
      <c r="D110" t="str">
        <f ca="1">_xlfn.FORMULATEXT(F110)</f>
        <v>=F25:IF(TRUE,F26)</v>
      </c>
      <c r="F110" cm="1">
        <f t="array" aca="1" ref="F110:F111" ca="1">F25:IF(TRUE,F26)</f>
        <v>100</v>
      </c>
    </row>
    <row r="111" spans="1:15">
      <c r="A111">
        <f ca="1">F111</f>
        <v>200</v>
      </c>
      <c r="B111">
        <v>200</v>
      </c>
      <c r="C111" t="b">
        <f t="shared" ref="C111:C130" ca="1" si="26">A111=B111</f>
        <v>1</v>
      </c>
      <c r="F111">
        <f ca="1"/>
        <v>200</v>
      </c>
      <c r="I111" t="str">
        <f ca="1">_xlfn.FORMULATEXT(I112)</f>
        <v>=H112:H114</v>
      </c>
      <c r="J111" t="str">
        <f ca="1">_xlfn.FORMULATEXT(J112)</f>
        <v>=@$I$112#</v>
      </c>
      <c r="K111" t="str">
        <f ca="1">_xlfn.FORMULATEXT(K112)</f>
        <v>=@($I$112#*2)</v>
      </c>
      <c r="L111" t="str">
        <f ca="1">_xlfn.FORMULATEXT(L112)</f>
        <v>=@($I$112#+$I$112#)</v>
      </c>
      <c r="M111" t="str">
        <f ca="1">_xlfn.FORMULATEXT(M112)</f>
        <v>=I112#*2</v>
      </c>
      <c r="N111" t="str">
        <f ca="1">_xlfn.FORMULATEXT(N112)</f>
        <v>=@($I$112#)</v>
      </c>
      <c r="O111" t="str">
        <f ca="1">_xlfn.FORMULATEXT(O112)</f>
        <v>=@I112#</v>
      </c>
    </row>
    <row r="112" spans="1:15">
      <c r="A112">
        <f>J112</f>
        <v>4</v>
      </c>
      <c r="B112">
        <v>4</v>
      </c>
      <c r="C112" t="b">
        <f t="shared" si="26"/>
        <v>1</v>
      </c>
      <c r="D112" t="str">
        <f ca="1">_xlfn.FORMULATEXT(J112)</f>
        <v>=@$I$112#</v>
      </c>
      <c r="H112">
        <v>4</v>
      </c>
      <c r="I112" cm="1">
        <f t="array" ref="I112:I114">H112:H114</f>
        <v>4</v>
      </c>
      <c r="J112">
        <f>_xlfn.ANCHORARRAY($I$112)</f>
        <v>4</v>
      </c>
      <c r="K112" cm="1">
        <f t="array" ref="K112">_xlfn.SINGLE((_xlfn.ANCHORARRAY($I$112)*2))</f>
        <v>8</v>
      </c>
      <c r="L112" cm="1">
        <f t="array" ref="L112">_xlfn.SINGLE((_xlfn.ANCHORARRAY($I$112)+_xlfn.ANCHORARRAY($I$112)))</f>
        <v>8</v>
      </c>
      <c r="M112" cm="1">
        <f t="array" ref="M112:M114">_xlfn.ANCHORARRAY(I112)*2</f>
        <v>8</v>
      </c>
      <c r="N112">
        <f>_xlfn.SINGLE((_xlfn.ANCHORARRAY($I$112)))</f>
        <v>4</v>
      </c>
      <c r="O112">
        <f>_xlfn.ANCHORARRAY(I112)</f>
        <v>4</v>
      </c>
    </row>
    <row r="113" spans="1:15">
      <c r="A113">
        <f>J113</f>
        <v>7</v>
      </c>
      <c r="B113">
        <v>7</v>
      </c>
      <c r="C113" t="b">
        <f t="shared" si="26"/>
        <v>1</v>
      </c>
      <c r="D113" t="str">
        <f ca="1">_xlfn.FORMULATEXT(J113)</f>
        <v>=@$I$112#</v>
      </c>
      <c r="H113">
        <v>7</v>
      </c>
      <c r="I113">
        <v>7</v>
      </c>
      <c r="J113">
        <f>_xlfn.ANCHORARRAY($I$112)</f>
        <v>7</v>
      </c>
      <c r="K113" cm="1">
        <f t="array" ref="K113">_xlfn.SINGLE((_xlfn.ANCHORARRAY($I$112)*2))</f>
        <v>8</v>
      </c>
      <c r="L113" cm="1">
        <f t="array" ref="L113">_xlfn.SINGLE((_xlfn.ANCHORARRAY($I$112)+_xlfn.ANCHORARRAY($I$112)))</f>
        <v>8</v>
      </c>
      <c r="M113">
        <v>14</v>
      </c>
      <c r="N113">
        <f>_xlfn.SINGLE((_xlfn.ANCHORARRAY($I$112)))</f>
        <v>7</v>
      </c>
      <c r="O113">
        <f>_xlfn.ANCHORARRAY(I112)</f>
        <v>7</v>
      </c>
    </row>
    <row r="114" spans="1:15">
      <c r="A114">
        <f>J114</f>
        <v>2</v>
      </c>
      <c r="B114">
        <v>2</v>
      </c>
      <c r="C114" t="b">
        <f t="shared" si="26"/>
        <v>1</v>
      </c>
      <c r="D114" t="str">
        <f ca="1">_xlfn.FORMULATEXT(J114)</f>
        <v>=@$I$112#</v>
      </c>
      <c r="H114">
        <v>2</v>
      </c>
      <c r="I114">
        <v>2</v>
      </c>
      <c r="J114">
        <f>_xlfn.ANCHORARRAY($I$112)</f>
        <v>2</v>
      </c>
      <c r="K114" cm="1">
        <f t="array" ref="K114">_xlfn.SINGLE((_xlfn.ANCHORARRAY($I$112)*2))</f>
        <v>8</v>
      </c>
      <c r="L114" cm="1">
        <f t="array" ref="L114">_xlfn.SINGLE((_xlfn.ANCHORARRAY($I$112)+_xlfn.ANCHORARRAY($I$112)))</f>
        <v>8</v>
      </c>
      <c r="M114">
        <v>4</v>
      </c>
      <c r="N114">
        <f>_xlfn.SINGLE((_xlfn.ANCHORARRAY($I$112)))</f>
        <v>2</v>
      </c>
      <c r="O114">
        <f>_xlfn.ANCHORARRAY(I112)</f>
        <v>2</v>
      </c>
    </row>
    <row r="115" spans="1:15">
      <c r="A115">
        <f>ERROR.TYPE(J115)</f>
        <v>3</v>
      </c>
      <c r="B115">
        <v>3</v>
      </c>
      <c r="C115" t="b">
        <f t="shared" si="26"/>
        <v>1</v>
      </c>
      <c r="D115" t="str">
        <f ca="1">_xlfn.FORMULATEXT(J115)</f>
        <v>=@$I$112#</v>
      </c>
      <c r="J115" t="e">
        <f>_xlfn.ANCHORARRAY($I$112)</f>
        <v>#VALUE!</v>
      </c>
      <c r="K115" cm="1">
        <f t="array" ref="K115">_xlfn.SINGLE((_xlfn.ANCHORARRAY($I$112)*2))</f>
        <v>8</v>
      </c>
      <c r="L115" cm="1">
        <f t="array" ref="L115">_xlfn.SINGLE((_xlfn.ANCHORARRAY($I$112)+_xlfn.ANCHORARRAY($I$112)))</f>
        <v>8</v>
      </c>
      <c r="N115" t="e">
        <f>_xlfn.SINGLE((_xlfn.ANCHORARRAY($I$112)))</f>
        <v>#VALUE!</v>
      </c>
      <c r="O115" t="e">
        <f>_xlfn.ANCHORARRAY(I112)</f>
        <v>#VALUE!</v>
      </c>
    </row>
    <row r="116" spans="1:15">
      <c r="A116">
        <f>O112</f>
        <v>4</v>
      </c>
      <c r="B116">
        <v>4</v>
      </c>
      <c r="C116" t="b">
        <f t="shared" ref="C116" si="27">A116=B116</f>
        <v>1</v>
      </c>
      <c r="D116" t="str">
        <f ca="1">_xlfn.FORMULATEXT(O112)</f>
        <v>=@I112#</v>
      </c>
    </row>
    <row r="117" spans="1:15">
      <c r="A117">
        <f>O113</f>
        <v>7</v>
      </c>
      <c r="B117">
        <v>7</v>
      </c>
      <c r="C117" t="b">
        <f t="shared" ref="C117:C119" si="28">A117=B117</f>
        <v>1</v>
      </c>
      <c r="D117" t="str">
        <f ca="1">_xlfn.FORMULATEXT(O113)</f>
        <v>=@I112#</v>
      </c>
    </row>
    <row r="118" spans="1:15">
      <c r="A118">
        <f>O114</f>
        <v>2</v>
      </c>
      <c r="B118">
        <v>2</v>
      </c>
      <c r="C118" t="b">
        <f t="shared" si="28"/>
        <v>1</v>
      </c>
      <c r="D118" t="str">
        <f ca="1">_xlfn.FORMULATEXT(O114)</f>
        <v>=@I112#</v>
      </c>
    </row>
    <row r="119" spans="1:15">
      <c r="A119">
        <f>ERROR.TYPE(O115)</f>
        <v>3</v>
      </c>
      <c r="B119">
        <v>3</v>
      </c>
      <c r="C119" t="b">
        <f t="shared" si="28"/>
        <v>1</v>
      </c>
      <c r="D119" t="str">
        <f ca="1">_xlfn.FORMULATEXT(O115)</f>
        <v>=@I112#</v>
      </c>
    </row>
    <row r="120" spans="1:15">
      <c r="A120">
        <f>N112</f>
        <v>4</v>
      </c>
      <c r="B120">
        <v>4</v>
      </c>
      <c r="C120" t="b">
        <f t="shared" ref="C120:C123" si="29">A120=B120</f>
        <v>1</v>
      </c>
      <c r="D120" t="str">
        <f ca="1">_xlfn.FORMULATEXT(N112)</f>
        <v>=@($I$112#)</v>
      </c>
    </row>
    <row r="121" spans="1:15">
      <c r="A121">
        <f>N113</f>
        <v>7</v>
      </c>
      <c r="B121">
        <v>7</v>
      </c>
      <c r="C121" t="b">
        <f t="shared" si="29"/>
        <v>1</v>
      </c>
      <c r="D121" t="str">
        <f ca="1">_xlfn.FORMULATEXT(N113)</f>
        <v>=@($I$112#)</v>
      </c>
    </row>
    <row r="122" spans="1:15">
      <c r="A122">
        <f>N114</f>
        <v>2</v>
      </c>
      <c r="B122">
        <v>2</v>
      </c>
      <c r="C122" t="b">
        <f t="shared" si="29"/>
        <v>1</v>
      </c>
      <c r="D122" t="str">
        <f ca="1">_xlfn.FORMULATEXT(N114)</f>
        <v>=@($I$112#)</v>
      </c>
    </row>
    <row r="123" spans="1:15">
      <c r="A123">
        <f>ERROR.TYPE(N115)</f>
        <v>3</v>
      </c>
      <c r="B123">
        <v>3</v>
      </c>
      <c r="C123" t="b">
        <f t="shared" si="29"/>
        <v>1</v>
      </c>
      <c r="D123" t="str">
        <f ca="1">_xlfn.FORMULATEXT(N115)</f>
        <v>=@($I$112#)</v>
      </c>
    </row>
    <row r="124" spans="1:15">
      <c r="A124">
        <f>M112</f>
        <v>8</v>
      </c>
      <c r="B124">
        <v>8</v>
      </c>
      <c r="C124" t="b">
        <f t="shared" ref="C124:C126" si="30">A124=B124</f>
        <v>1</v>
      </c>
      <c r="D124" t="str">
        <f ca="1">_xlfn.FORMULATEXT(M112)</f>
        <v>=I112#*2</v>
      </c>
    </row>
    <row r="125" spans="1:15">
      <c r="A125">
        <f>M113</f>
        <v>14</v>
      </c>
      <c r="B125">
        <v>14</v>
      </c>
      <c r="C125" t="b">
        <f t="shared" si="30"/>
        <v>1</v>
      </c>
    </row>
    <row r="126" spans="1:15">
      <c r="A126">
        <f>M114</f>
        <v>4</v>
      </c>
      <c r="B126">
        <v>4</v>
      </c>
      <c r="C126" t="b">
        <f t="shared" si="30"/>
        <v>1</v>
      </c>
    </row>
    <row r="127" spans="1:15">
      <c r="A127">
        <f>K112</f>
        <v>8</v>
      </c>
      <c r="B127">
        <v>8</v>
      </c>
      <c r="C127" t="b">
        <f t="shared" si="26"/>
        <v>1</v>
      </c>
      <c r="D127" t="str">
        <f ca="1">_xlfn.FORMULATEXT(K112)</f>
        <v>=@($I$112#*2)</v>
      </c>
    </row>
    <row r="128" spans="1:15">
      <c r="A128">
        <f>K113</f>
        <v>8</v>
      </c>
      <c r="B128">
        <v>8</v>
      </c>
      <c r="C128" t="b">
        <f t="shared" si="26"/>
        <v>1</v>
      </c>
      <c r="D128" t="str">
        <f ca="1">_xlfn.FORMULATEXT(K113)</f>
        <v>=@($I$112#*2)</v>
      </c>
    </row>
    <row r="129" spans="1:4">
      <c r="A129">
        <f>K114</f>
        <v>8</v>
      </c>
      <c r="B129">
        <v>8</v>
      </c>
      <c r="C129" t="b">
        <f t="shared" si="26"/>
        <v>1</v>
      </c>
      <c r="D129" t="str">
        <f ca="1">_xlfn.FORMULATEXT(K114)</f>
        <v>=@($I$112#*2)</v>
      </c>
    </row>
    <row r="130" spans="1:4">
      <c r="A130">
        <f>K115</f>
        <v>8</v>
      </c>
      <c r="B130">
        <v>8</v>
      </c>
      <c r="C130" t="b">
        <f t="shared" si="26"/>
        <v>1</v>
      </c>
      <c r="D130" t="str">
        <f ca="1">_xlfn.FORMULATEXT(K115)</f>
        <v>=@($I$112#*2)</v>
      </c>
    </row>
    <row r="131" spans="1:4">
      <c r="A131">
        <f>L112</f>
        <v>8</v>
      </c>
      <c r="B131">
        <v>8</v>
      </c>
      <c r="C131" t="b">
        <f t="shared" ref="C131" si="31">A131=B131</f>
        <v>1</v>
      </c>
      <c r="D131" t="str">
        <f ca="1">_xlfn.FORMULATEXT(L112)</f>
        <v>=@($I$112#+$I$112#)</v>
      </c>
    </row>
    <row r="132" spans="1:4">
      <c r="A132">
        <f t="shared" ref="A132:A134" si="32">L113</f>
        <v>8</v>
      </c>
      <c r="B132">
        <v>8</v>
      </c>
      <c r="C132" t="b">
        <f t="shared" ref="C132:C134" si="33">A132=B132</f>
        <v>1</v>
      </c>
      <c r="D132" t="str">
        <f t="shared" ref="D132:D134" ca="1" si="34">_xlfn.FORMULATEXT(L113)</f>
        <v>=@($I$112#+$I$112#)</v>
      </c>
    </row>
    <row r="133" spans="1:4">
      <c r="A133">
        <f t="shared" si="32"/>
        <v>8</v>
      </c>
      <c r="B133">
        <v>8</v>
      </c>
      <c r="C133" t="b">
        <f t="shared" si="33"/>
        <v>1</v>
      </c>
      <c r="D133" t="str">
        <f t="shared" ca="1" si="34"/>
        <v>=@($I$112#+$I$112#)</v>
      </c>
    </row>
    <row r="134" spans="1:4">
      <c r="A134">
        <f t="shared" si="32"/>
        <v>8</v>
      </c>
      <c r="B134">
        <v>8</v>
      </c>
      <c r="C134" t="b">
        <f t="shared" si="33"/>
        <v>1</v>
      </c>
      <c r="D134" t="str">
        <f t="shared" ca="1" si="34"/>
        <v>=@($I$112#+$I$112#)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2026-08-21T13:08:42Z</dcterms:created>
  <dcterms:modified xsi:type="dcterms:W3CDTF">2026-08-25T03:49:35Z</dcterms:modified>
  <cp:category/>
  <cp:contentStatus/>
</cp:coreProperties>
</file>